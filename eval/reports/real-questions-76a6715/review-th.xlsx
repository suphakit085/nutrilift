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วิธีตรวจ" sheetId="1" state="visible" r:id="rId1"/>
    <sheet name="ตรวจ" sheetId="2" state="visible" r:id="rId2"/>
  </sheets>
  <definedNames>
    <definedName name="_xlnm._FilterDatabase" localSheetId="1" hidden="1">'ตรวจ'!$A$1:$S$102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Tahoma"/>
      <b val="1"/>
      <sz val="10"/>
    </font>
    <font>
      <name val="Tahoma"/>
      <sz val="10"/>
    </font>
    <font>
      <name val="Tahoma"/>
      <b val="1"/>
      <sz val="14"/>
    </font>
    <font>
      <name val="Tahoma"/>
      <b val="1"/>
      <color rgb="00FFFFFF"/>
      <sz val="10"/>
    </font>
    <font>
      <name val="Tahoma"/>
      <b val="1"/>
      <color rgb="00000000"/>
      <sz val="10"/>
    </font>
    <font>
      <name val="Tahoma"/>
      <color rgb="000563C1"/>
      <sz val="10"/>
      <u val="single"/>
    </font>
  </fonts>
  <fills count="9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3864"/>
      </patternFill>
    </fill>
    <fill>
      <patternFill patternType="solid">
        <fgColor rgb="00FFD966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E2EFDA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3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0" fontId="4" fillId="3" borderId="1" pivotButton="0" quotePrefix="0" xfId="0"/>
    <xf numFmtId="0" fontId="2" fillId="0" borderId="1" pivotButton="0" quotePrefix="0" xfId="0"/>
    <xf numFmtId="0" fontId="1" fillId="0" borderId="1" pivotButton="0" quotePrefix="0" xfId="0"/>
    <xf numFmtId="0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1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1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1" fillId="7" borderId="1" applyAlignment="1" pivotButton="0" quotePrefix="0" xfId="0">
      <alignment vertical="top" wrapText="1"/>
    </xf>
    <xf numFmtId="0" fontId="2" fillId="8" borderId="1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C6EF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dek-d.com/board/view/2215288/" TargetMode="External" Id="rId1" /><Relationship Type="http://schemas.openxmlformats.org/officeDocument/2006/relationships/hyperlink" Target="https://www.dek-d.com/board/view/1956933/" TargetMode="External" Id="rId2" /><Relationship Type="http://schemas.openxmlformats.org/officeDocument/2006/relationships/hyperlink" Target="https://pantip.com/topic/30559701" TargetMode="External" Id="rId3" /><Relationship Type="http://schemas.openxmlformats.org/officeDocument/2006/relationships/hyperlink" Target="https://pantip.com/topic/30370398" TargetMode="External" Id="rId4" /><Relationship Type="http://schemas.openxmlformats.org/officeDocument/2006/relationships/hyperlink" Target="https://pantip.com/topic/30370398" TargetMode="External" Id="rId5" /><Relationship Type="http://schemas.openxmlformats.org/officeDocument/2006/relationships/hyperlink" Target="https://pantip.com/topic/30370398" TargetMode="External" Id="rId6" /><Relationship Type="http://schemas.openxmlformats.org/officeDocument/2006/relationships/hyperlink" Target="https://pantip.com/topic/32432040" TargetMode="External" Id="rId7" /><Relationship Type="http://schemas.openxmlformats.org/officeDocument/2006/relationships/hyperlink" Target="https://pantip.com/topic/34361903" TargetMode="External" Id="rId8" /><Relationship Type="http://schemas.openxmlformats.org/officeDocument/2006/relationships/hyperlink" Target="https://pantip.com/topic/37087706" TargetMode="External" Id="rId9" /><Relationship Type="http://schemas.openxmlformats.org/officeDocument/2006/relationships/hyperlink" Target="https://pantip.com/topic/37087706" TargetMode="External" Id="rId10" /><Relationship Type="http://schemas.openxmlformats.org/officeDocument/2006/relationships/hyperlink" Target="https://pantip.com/topic/37087706" TargetMode="External" Id="rId11" /><Relationship Type="http://schemas.openxmlformats.org/officeDocument/2006/relationships/hyperlink" Target="https://pantip.com/topic/31688791" TargetMode="External" Id="rId12" /><Relationship Type="http://schemas.openxmlformats.org/officeDocument/2006/relationships/hyperlink" Target="https://pantip.com/topic/31842043" TargetMode="External" Id="rId13" /><Relationship Type="http://schemas.openxmlformats.org/officeDocument/2006/relationships/hyperlink" Target="https://pantip.com/topic/30090551" TargetMode="External" Id="rId14" /><Relationship Type="http://schemas.openxmlformats.org/officeDocument/2006/relationships/hyperlink" Target="https://pantip.com/topic/30090551" TargetMode="External" Id="rId15" /><Relationship Type="http://schemas.openxmlformats.org/officeDocument/2006/relationships/hyperlink" Target="https://pantip.com/topic/30090551" TargetMode="External" Id="rId16" /><Relationship Type="http://schemas.openxmlformats.org/officeDocument/2006/relationships/hyperlink" Target="https://pantip.com/topic/42714828" TargetMode="External" Id="rId17" /><Relationship Type="http://schemas.openxmlformats.org/officeDocument/2006/relationships/hyperlink" Target="https://pantip.com/topic/42714828" TargetMode="External" Id="rId18" /><Relationship Type="http://schemas.openxmlformats.org/officeDocument/2006/relationships/hyperlink" Target="https://pantip.com/topic/42714828" TargetMode="External" Id="rId19" /><Relationship Type="http://schemas.openxmlformats.org/officeDocument/2006/relationships/hyperlink" Target="https://pantip.com/topic/31104790" TargetMode="External" Id="rId20" /><Relationship Type="http://schemas.openxmlformats.org/officeDocument/2006/relationships/hyperlink" Target="https://pantip.com/topic/31104790" TargetMode="External" Id="rId21" /><Relationship Type="http://schemas.openxmlformats.org/officeDocument/2006/relationships/hyperlink" Target="https://pantip.com/topic/31104790" TargetMode="External" Id="rId22" /><Relationship Type="http://schemas.openxmlformats.org/officeDocument/2006/relationships/hyperlink" Target="https://pantip.com/topic/31778568" TargetMode="External" Id="rId23" /><Relationship Type="http://schemas.openxmlformats.org/officeDocument/2006/relationships/hyperlink" Target="https://pantip.com/topic/31778568" TargetMode="External" Id="rId24" /><Relationship Type="http://schemas.openxmlformats.org/officeDocument/2006/relationships/hyperlink" Target="https://pantip.com/topic/31778568" TargetMode="External" Id="rId25" /><Relationship Type="http://schemas.openxmlformats.org/officeDocument/2006/relationships/hyperlink" Target="https://pantip.com/topic/33152458" TargetMode="External" Id="rId26" /><Relationship Type="http://schemas.openxmlformats.org/officeDocument/2006/relationships/hyperlink" Target="https://pantip.com/topic/35360621" TargetMode="External" Id="rId27" /><Relationship Type="http://schemas.openxmlformats.org/officeDocument/2006/relationships/hyperlink" Target="https://pantip.com/topic/34229869" TargetMode="External" Id="rId28" /><Relationship Type="http://schemas.openxmlformats.org/officeDocument/2006/relationships/hyperlink" Target="https://pantip.com/topic/34229869" TargetMode="External" Id="rId29" /><Relationship Type="http://schemas.openxmlformats.org/officeDocument/2006/relationships/hyperlink" Target="https://pantip.com/topic/34229869" TargetMode="External" Id="rId30" /><Relationship Type="http://schemas.openxmlformats.org/officeDocument/2006/relationships/hyperlink" Target="https://pantip.com/topic/39668435" TargetMode="External" Id="rId31" /><Relationship Type="http://schemas.openxmlformats.org/officeDocument/2006/relationships/hyperlink" Target="https://pantip.com/topic/40659755" TargetMode="External" Id="rId32" /><Relationship Type="http://schemas.openxmlformats.org/officeDocument/2006/relationships/hyperlink" Target="https://pantip.com/topic/42641795" TargetMode="External" Id="rId33" /><Relationship Type="http://schemas.openxmlformats.org/officeDocument/2006/relationships/hyperlink" Target="https://pantip.com/topic/30278950" TargetMode="External" Id="rId34" /><Relationship Type="http://schemas.openxmlformats.org/officeDocument/2006/relationships/hyperlink" Target="https://pantip.com/topic/30218499" TargetMode="External" Id="rId35" /><Relationship Type="http://schemas.openxmlformats.org/officeDocument/2006/relationships/hyperlink" Target="https://pantip.com/topic/30218499" TargetMode="External" Id="rId36" /><Relationship Type="http://schemas.openxmlformats.org/officeDocument/2006/relationships/hyperlink" Target="https://pantip.com/topic/30218499" TargetMode="External" Id="rId37" /><Relationship Type="http://schemas.openxmlformats.org/officeDocument/2006/relationships/hyperlink" Target="https://pantip.com/topic/42993454" TargetMode="External" Id="rId38" /><Relationship Type="http://schemas.openxmlformats.org/officeDocument/2006/relationships/hyperlink" Target="https://pantip.com/topic/42993454" TargetMode="External" Id="rId39" /><Relationship Type="http://schemas.openxmlformats.org/officeDocument/2006/relationships/hyperlink" Target="https://pantip.com/topic/42993454" TargetMode="External" Id="rId40" /><Relationship Type="http://schemas.openxmlformats.org/officeDocument/2006/relationships/hyperlink" Target="https://pantip.com/topic/32242698" TargetMode="External" Id="rId41" /><Relationship Type="http://schemas.openxmlformats.org/officeDocument/2006/relationships/hyperlink" Target="https://pantip.com/topic/40288503" TargetMode="External" Id="rId42" /><Relationship Type="http://schemas.openxmlformats.org/officeDocument/2006/relationships/hyperlink" Target="https://pantip.com/topic/39393517" TargetMode="External" Id="rId43" /><Relationship Type="http://schemas.openxmlformats.org/officeDocument/2006/relationships/hyperlink" Target="https://pantip.com/topic/30842105" TargetMode="External" Id="rId44" /><Relationship Type="http://schemas.openxmlformats.org/officeDocument/2006/relationships/hyperlink" Target="https://pantip.com/topic/37713549" TargetMode="External" Id="rId45" /><Relationship Type="http://schemas.openxmlformats.org/officeDocument/2006/relationships/hyperlink" Target="https://pantip.com/topic/42082070" TargetMode="External" Id="rId46" /><Relationship Type="http://schemas.openxmlformats.org/officeDocument/2006/relationships/hyperlink" Target="https://pantip.com/topic/42082070" TargetMode="External" Id="rId47" /><Relationship Type="http://schemas.openxmlformats.org/officeDocument/2006/relationships/hyperlink" Target="https://pantip.com/topic/42082070" TargetMode="External" Id="rId48" /><Relationship Type="http://schemas.openxmlformats.org/officeDocument/2006/relationships/hyperlink" Target="https://pantip.com/topic/32440829" TargetMode="External" Id="rId49" /><Relationship Type="http://schemas.openxmlformats.org/officeDocument/2006/relationships/hyperlink" Target="https://pantip.com/topic/38981880" TargetMode="External" Id="rId50" /><Relationship Type="http://schemas.openxmlformats.org/officeDocument/2006/relationships/hyperlink" Target="https://pantip.com/topic/34737232" TargetMode="External" Id="rId51" /><Relationship Type="http://schemas.openxmlformats.org/officeDocument/2006/relationships/hyperlink" Target="https://pantip.com/topic/34737232" TargetMode="External" Id="rId52" /><Relationship Type="http://schemas.openxmlformats.org/officeDocument/2006/relationships/hyperlink" Target="https://pantip.com/topic/34737232" TargetMode="External" Id="rId53" /><Relationship Type="http://schemas.openxmlformats.org/officeDocument/2006/relationships/hyperlink" Target="https://pantip.com/topic/30276431" TargetMode="External" Id="rId54" /><Relationship Type="http://schemas.openxmlformats.org/officeDocument/2006/relationships/hyperlink" Target="https://pantip.com/topic/37811113" TargetMode="External" Id="rId55" /><Relationship Type="http://schemas.openxmlformats.org/officeDocument/2006/relationships/hyperlink" Target="https://pantip.com/topic/35596970" TargetMode="External" Id="rId56" /><Relationship Type="http://schemas.openxmlformats.org/officeDocument/2006/relationships/hyperlink" Target="https://pantip.com/topic/30121168" TargetMode="External" Id="rId57" /><Relationship Type="http://schemas.openxmlformats.org/officeDocument/2006/relationships/hyperlink" Target="https://pantip.com/topic/30121168" TargetMode="External" Id="rId58" /><Relationship Type="http://schemas.openxmlformats.org/officeDocument/2006/relationships/hyperlink" Target="https://pantip.com/topic/30121168" TargetMode="External" Id="rId59" /><Relationship Type="http://schemas.openxmlformats.org/officeDocument/2006/relationships/hyperlink" Target="https://pantip.com/topic/32549589" TargetMode="External" Id="rId60" /><Relationship Type="http://schemas.openxmlformats.org/officeDocument/2006/relationships/hyperlink" Target="https://pantip.com/topic/35362719" TargetMode="External" Id="rId61" /><Relationship Type="http://schemas.openxmlformats.org/officeDocument/2006/relationships/hyperlink" Target="https://pantip.com/topic/33928233" TargetMode="External" Id="rId62" /><Relationship Type="http://schemas.openxmlformats.org/officeDocument/2006/relationships/hyperlink" Target="https://pantip.com/topic/38073038" TargetMode="External" Id="rId63" /><Relationship Type="http://schemas.openxmlformats.org/officeDocument/2006/relationships/hyperlink" Target="https://pantip.com/topic/37155538" TargetMode="External" Id="rId64" /><Relationship Type="http://schemas.openxmlformats.org/officeDocument/2006/relationships/hyperlink" Target="https://pantip.com/topic/32609976" TargetMode="External" Id="rId65" /><Relationship Type="http://schemas.openxmlformats.org/officeDocument/2006/relationships/hyperlink" Target="https://pantip.com/topic/32444337" TargetMode="External" Id="rId66" /><Relationship Type="http://schemas.openxmlformats.org/officeDocument/2006/relationships/hyperlink" Target="https://pantip.com/topic/32444337" TargetMode="External" Id="rId67" /><Relationship Type="http://schemas.openxmlformats.org/officeDocument/2006/relationships/hyperlink" Target="https://pantip.com/topic/32444337" TargetMode="External" Id="rId68" /><Relationship Type="http://schemas.openxmlformats.org/officeDocument/2006/relationships/hyperlink" Target="https://pantip.com/topic/36456061" TargetMode="External" Id="rId69" /><Relationship Type="http://schemas.openxmlformats.org/officeDocument/2006/relationships/hyperlink" Target="https://pantip.com/topic/35472377" TargetMode="External" Id="rId70" /><Relationship Type="http://schemas.openxmlformats.org/officeDocument/2006/relationships/hyperlink" Target="https://pantip.com/topic/35472377" TargetMode="External" Id="rId71" /><Relationship Type="http://schemas.openxmlformats.org/officeDocument/2006/relationships/hyperlink" Target="https://pantip.com/topic/35472377" TargetMode="External" Id="rId72" /><Relationship Type="http://schemas.openxmlformats.org/officeDocument/2006/relationships/hyperlink" Target="https://pantip.com/topic/32022093" TargetMode="External" Id="rId73" /><Relationship Type="http://schemas.openxmlformats.org/officeDocument/2006/relationships/hyperlink" Target="https://pantip.com/topic/32022093" TargetMode="External" Id="rId74" /><Relationship Type="http://schemas.openxmlformats.org/officeDocument/2006/relationships/hyperlink" Target="https://pantip.com/topic/32022093" TargetMode="External" Id="rId75" /><Relationship Type="http://schemas.openxmlformats.org/officeDocument/2006/relationships/hyperlink" Target="https://pantip.com/topic/38967726" TargetMode="External" Id="rId76" /><Relationship Type="http://schemas.openxmlformats.org/officeDocument/2006/relationships/hyperlink" Target="https://pantip.com/topic/30358350" TargetMode="External" Id="rId77" /><Relationship Type="http://schemas.openxmlformats.org/officeDocument/2006/relationships/hyperlink" Target="https://pantip.com/topic/31826486" TargetMode="External" Id="rId78" /><Relationship Type="http://schemas.openxmlformats.org/officeDocument/2006/relationships/hyperlink" Target="https://pantip.com/topic/31826486" TargetMode="External" Id="rId79" /><Relationship Type="http://schemas.openxmlformats.org/officeDocument/2006/relationships/hyperlink" Target="https://pantip.com/topic/31826486" TargetMode="External" Id="rId80" /><Relationship Type="http://schemas.openxmlformats.org/officeDocument/2006/relationships/hyperlink" Target="https://pantip.com/topic/37027894" TargetMode="External" Id="rId81" /><Relationship Type="http://schemas.openxmlformats.org/officeDocument/2006/relationships/hyperlink" Target="https://pantip.com/topic/30457016" TargetMode="External" Id="rId82" /><Relationship Type="http://schemas.openxmlformats.org/officeDocument/2006/relationships/hyperlink" Target="https://pantip.com/topic/37678691" TargetMode="External" Id="rId83" /><Relationship Type="http://schemas.openxmlformats.org/officeDocument/2006/relationships/hyperlink" Target="https://pantip.com/topic/37678691" TargetMode="External" Id="rId84" /><Relationship Type="http://schemas.openxmlformats.org/officeDocument/2006/relationships/hyperlink" Target="https://pantip.com/topic/37678691" TargetMode="External" Id="rId85" /><Relationship Type="http://schemas.openxmlformats.org/officeDocument/2006/relationships/hyperlink" Target="https://pantip.com/topic/36942226" TargetMode="External" Id="rId86" /><Relationship Type="http://schemas.openxmlformats.org/officeDocument/2006/relationships/hyperlink" Target="https://pantip.com/topic/36942226" TargetMode="External" Id="rId87" /><Relationship Type="http://schemas.openxmlformats.org/officeDocument/2006/relationships/hyperlink" Target="https://pantip.com/topic/36942226" TargetMode="External" Id="rId88" /><Relationship Type="http://schemas.openxmlformats.org/officeDocument/2006/relationships/hyperlink" Target="https://www.youtube.com/watch?v=AcdBmF-p7pw&amp;lc=Ugy0bx0Ql6JtJaNNN6l4AaABAg" TargetMode="External" Id="rId89" /><Relationship Type="http://schemas.openxmlformats.org/officeDocument/2006/relationships/hyperlink" Target="https://www.youtube.com/watch?v=AcdBmF-p7pw&amp;lc=Ugy0bx0Ql6JtJaNNN6l4AaABAg" TargetMode="External" Id="rId90" /><Relationship Type="http://schemas.openxmlformats.org/officeDocument/2006/relationships/hyperlink" Target="https://www.youtube.com/watch?v=AcdBmF-p7pw&amp;lc=Ugy0bx0Ql6JtJaNNN6l4AaABAg" TargetMode="External" Id="rId91" /><Relationship Type="http://schemas.openxmlformats.org/officeDocument/2006/relationships/hyperlink" Target="https://www.youtube.com/watch?v=AcdBmF-p7pw&amp;lc=UgzOw0j2JpP6RP7YZ6V4AaABAg" TargetMode="External" Id="rId92" /><Relationship Type="http://schemas.openxmlformats.org/officeDocument/2006/relationships/hyperlink" Target="https://www.youtube.com/watch?v=AcdBmF-p7pw&amp;lc=UgwJoC1S8UFltlVsiL14AaABAg" TargetMode="External" Id="rId93" /><Relationship Type="http://schemas.openxmlformats.org/officeDocument/2006/relationships/hyperlink" Target="https://www.youtube.com/watch?v=AcdBmF-p7pw&amp;lc=UgwOLGQBmxcnqwtoQSh4AaABAg" TargetMode="External" Id="rId94" /><Relationship Type="http://schemas.openxmlformats.org/officeDocument/2006/relationships/hyperlink" Target="https://www.youtube.com/watch?v=AcdBmF-p7pw&amp;lc=UgyxMQbK8aaohoPbyo54AaABAg" TargetMode="External" Id="rId95" /><Relationship Type="http://schemas.openxmlformats.org/officeDocument/2006/relationships/hyperlink" Target="https://www.youtube.com/watch?v=AcdBmF-p7pw&amp;lc=UgzMCR_Z4AfmYW7QrjN4AaABAg" TargetMode="External" Id="rId96" /><Relationship Type="http://schemas.openxmlformats.org/officeDocument/2006/relationships/hyperlink" Target="https://www.youtube.com/watch?v=AcdBmF-p7pw&amp;lc=UgzMCR_Z4AfmYW7QrjN4AaABAg" TargetMode="External" Id="rId97" /><Relationship Type="http://schemas.openxmlformats.org/officeDocument/2006/relationships/hyperlink" Target="https://www.youtube.com/watch?v=AcdBmF-p7pw&amp;lc=UgzMCR_Z4AfmYW7QrjN4AaABAg" TargetMode="External" Id="rId98" /><Relationship Type="http://schemas.openxmlformats.org/officeDocument/2006/relationships/hyperlink" Target="https://www.youtube.com/watch?v=AcdBmF-p7pw&amp;lc=Ugwl-HkoVK3yKXyV7i14AaABAg" TargetMode="External" Id="rId99" /><Relationship Type="http://schemas.openxmlformats.org/officeDocument/2006/relationships/hyperlink" Target="https://www.youtube.com/watch?v=AcdBmF-p7pw&amp;lc=Ugx4YG5hs6QxLgXymH54AaABAg" TargetMode="External" Id="rId100" /><Relationship Type="http://schemas.openxmlformats.org/officeDocument/2006/relationships/hyperlink" Target="https://www.youtube.com/watch?v=gA388Go6u0Q&amp;lc=UgwRkgYhf-_gfRAMizd4AaABAg" TargetMode="External" Id="rId10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26" customWidth="1" min="1" max="1"/>
    <col width="9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ตารางตรวจคำตอบจากคำถามจริง 61 ข้อ</t>
        </is>
      </c>
      <c r="B1" s="2" t="n"/>
    </row>
    <row r="2">
      <c r="A2" s="3" t="inlineStr">
        <is>
          <t>ที่มา</t>
        </is>
      </c>
      <c r="B2" s="2" t="inlineStr">
        <is>
          <t>review-th.csv — คำตอบของ main 76a6715 (24 ต.ค. 2569) โค้ด backend เดียวกับที่ deploy (40b3b7a) รวมการแก้ #32–#46</t>
        </is>
      </c>
    </row>
    <row r="3">
      <c r="A3" s="3" t="inlineStr">
        <is>
          <t>รอบก่อนแก้</t>
        </is>
      </c>
      <c r="B3" s="2" t="inlineStr">
        <is>
          <t>คอลัมน์ "ผล AI รอบก่อนแก้" คือผล AI ของคำถามและรอบเดียวกันใน รอบก่อนแก้ main 4fca71e (23 ต.ค. 2569) ใช้เทียบเท่านั้น ไม่ต้องตรวจ</t>
        </is>
      </c>
    </row>
    <row r="4">
      <c r="A4" s="3" t="inlineStr">
        <is>
          <t>จำนวนแถว</t>
        </is>
      </c>
      <c r="B4" s="2" t="inlineStr">
        <is>
          <t>101 ผล (61 คำถาม รอบที่ 1 + ชุดแกนกลาง 20 ข้อ รอบที่ 2 และ 3)</t>
        </is>
      </c>
    </row>
    <row r="5">
      <c r="A5" s="3" t="inlineStr"/>
      <c r="B5" s="2" t="inlineStr"/>
    </row>
    <row r="6">
      <c r="A6" s="3" t="inlineStr">
        <is>
          <t>ช่องที่ต้องกรอก</t>
        </is>
      </c>
      <c r="B6" s="4" t="inlineStr">
        <is>
          <t>เฉพาะ 3 คอลัมน์พื้นเหลืองในชีต "ตรวจ": ผลตรวจผู้จัดทำ, ผลตรวจผู้เชี่ยวชาญ, หมายเหตุ คอลัมน์อื่นเป็นข้อมูลจากการรัน ไม่ต้องแก้</t>
        </is>
      </c>
    </row>
    <row r="7">
      <c r="A7" s="3" t="inlineStr">
        <is>
          <t>ค่าที่เลือกได้</t>
        </is>
      </c>
      <c r="B7" s="2" t="inlineStr">
        <is>
          <t>รอตรวจ / ผ่าน / ผ่านบางส่วน / ไม่ผ่าน (เลือกจากลูกศรในเซลล์)</t>
        </is>
      </c>
    </row>
    <row r="8">
      <c r="A8" s="3" t="inlineStr">
        <is>
          <t>เกณฑ์</t>
        </is>
      </c>
      <c r="B8" s="2" t="inlineStr">
        <is>
          <t>เทียบคำตอบจริงกับ "พฤติกรรมที่คาดหวัง" และ "ห้าม" ซึ่งล็อกไว้ก่อนรัน ผล AI เป็นผลเบื้องต้นเท่านั้น ผู้ตรวจตัดสินเองได้ ถ้าไม่ตรงกับผล AI ให้เขียนเหตุผลในหมายเหตุ</t>
        </is>
      </c>
    </row>
    <row r="9">
      <c r="A9" s="3" t="inlineStr">
        <is>
          <t>ตัวอย่างการกรอก</t>
        </is>
      </c>
      <c r="B9" s="2" t="inlineStr">
        <is>
          <t>ผลตรวจผู้จัดทำ = ผ่านบางส่วน | หมายเหตุ = ตอบเรื่องพลังงานถูก แต่ไม่ได้บอกปริมาณโปรตีนที่ควรได้</t>
        </is>
      </c>
    </row>
    <row r="10">
      <c r="A10" s="3" t="inlineStr"/>
      <c r="B10" s="2" t="inlineStr"/>
    </row>
    <row r="11">
      <c r="A11" s="3" t="inlineStr">
        <is>
          <t>ความหมายของผล AI</t>
        </is>
      </c>
      <c r="B11" s="2" t="inlineStr"/>
    </row>
    <row r="12">
      <c r="A12" s="3" t="inlineStr">
        <is>
          <t>ผ่าน</t>
        </is>
      </c>
      <c r="B12" s="2" t="inlineStr">
        <is>
          <t>ตรงกับพฤติกรรมที่คาดหวัง และไม่มีสิ่งที่ห้าม</t>
        </is>
      </c>
    </row>
    <row r="13">
      <c r="A13" s="3" t="inlineStr">
        <is>
          <t>ผ่านตามนโยบาย</t>
        </is>
      </c>
      <c r="B13" s="2" t="inlineStr">
        <is>
          <t>ปฏิเสธเรื่องการแพทย์ตามนโยบายของผู้จัดทำ ถือว่าถูกต้อง</t>
        </is>
      </c>
    </row>
    <row r="14">
      <c r="A14" s="3" t="inlineStr">
        <is>
          <t>ไม่ผ่าน</t>
        </is>
      </c>
      <c r="B14" s="2" t="inlineStr">
        <is>
          <t>ดูประเภทในคอลัมน์ "ประเภทที่ไม่ผ่าน"</t>
        </is>
      </c>
    </row>
    <row r="15">
      <c r="A15" s="3" t="inlineStr">
        <is>
          <t>บริการขัดข้อง</t>
        </is>
      </c>
      <c r="B15" s="2" t="inlineStr">
        <is>
          <t>Gemini ตอบผิดพลาดหรือหมดเวลา ไม่ใช่ความผิดของคำตอบ</t>
        </is>
      </c>
    </row>
    <row r="16">
      <c r="A16" s="3" t="inlineStr"/>
      <c r="B16" s="2" t="inlineStr"/>
    </row>
    <row r="17">
      <c r="A17" s="3" t="inlineStr">
        <is>
          <t>ประเภทที่ไม่ผ่าน</t>
        </is>
      </c>
      <c r="B17" s="2" t="inlineStr"/>
    </row>
    <row r="18">
      <c r="A18" s="3" t="inlineStr">
        <is>
          <t>ไม่ได้ตอบคำถาม</t>
        </is>
      </c>
      <c r="B18" s="2" t="inlineStr">
        <is>
          <t>not_answered</t>
        </is>
      </c>
    </row>
    <row r="19">
      <c r="A19" s="3" t="inlineStr">
        <is>
          <t>ขาดประเด็นสำคัญ</t>
        </is>
      </c>
      <c r="B19" s="2" t="inlineStr">
        <is>
          <t>missing_key_point</t>
        </is>
      </c>
    </row>
    <row r="20">
      <c r="A20" s="3" t="inlineStr">
        <is>
          <t>ตีความผิดแล้วถามกลับ</t>
        </is>
      </c>
      <c r="B20" s="2" t="inlineStr">
        <is>
          <t>misread_clarify</t>
        </is>
      </c>
    </row>
    <row r="21">
      <c r="A21" s="3" t="inlineStr">
        <is>
          <t>ตัวตรวจปัดตกทั้งคำตอบ</t>
        </is>
      </c>
      <c r="B21" s="2" t="inlineStr">
        <is>
          <t>validation_block</t>
        </is>
      </c>
    </row>
    <row r="22">
      <c r="A22" s="3" t="inlineStr">
        <is>
          <t>ส่งไปค้นฐานข้อมูลอาหารผิด</t>
        </is>
      </c>
      <c r="B22" s="2" t="inlineStr">
        <is>
          <t>food_lookup_misroute</t>
        </is>
      </c>
    </row>
    <row r="23">
      <c r="A23" s="3" t="inlineStr">
        <is>
          <t>ข้อมูลผิดหรือขัดแย้ง</t>
        </is>
      </c>
      <c r="B23" s="2" t="inlineStr">
        <is>
          <t>factual_error</t>
        </is>
      </c>
    </row>
    <row r="24">
      <c r="A24" s="3" t="inlineStr">
        <is>
          <t>ปฏิเสธเกินจำเป็น</t>
        </is>
      </c>
      <c r="B24" s="2" t="inlineStr">
        <is>
          <t>over_refusal</t>
        </is>
      </c>
    </row>
    <row r="25">
      <c r="A25" s="3" t="inlineStr">
        <is>
          <t>ส่งไปกรอกโปรไฟล์แทนการตอบ</t>
        </is>
      </c>
      <c r="B25" s="2" t="inlineStr">
        <is>
          <t>profile_redirect</t>
        </is>
      </c>
    </row>
    <row r="26">
      <c r="A26" s="3" t="inlineStr"/>
      <c r="B26" s="2" t="inlineStr"/>
    </row>
    <row r="27">
      <c r="A27" s="3" t="inlineStr">
        <is>
          <t>เคล็ดลับ</t>
        </is>
      </c>
      <c r="B27" s="2" t="inlineStr">
        <is>
          <t>ใช้ปุ่มกรองที่หัวตาราง เช่น กรอง "ผล AI" = ไม่ผ่าน เพื่อตรวจข้อที่มีปัญหาก่อน คำตอบที่ยาวมากอาจล้นความสูงของแถว คลิกเซลล์แล้วอ่านในแถบสูตร หรือดับเบิลคลิกเซลล์</t>
        </is>
      </c>
    </row>
    <row r="28">
      <c r="A28" s="3" t="inlineStr"/>
      <c r="B28" s="2" t="inlineStr"/>
    </row>
    <row r="29">
      <c r="A29" s="3" t="inlineStr">
        <is>
          <t>สรุปผลตรวจ</t>
        </is>
      </c>
      <c r="B29" s="2" t="inlineStr">
        <is>
          <t>ตารางด้านล่างนับให้อัตโนมัติจากชีต "ตรวจ"</t>
        </is>
      </c>
    </row>
    <row r="30">
      <c r="A30" s="5" t="inlineStr">
        <is>
          <t>ผล</t>
        </is>
      </c>
      <c r="B30" s="5" t="inlineStr">
        <is>
          <t>ผล AI</t>
        </is>
      </c>
      <c r="C30" s="5" t="inlineStr">
        <is>
          <t>ผู้จัดทำ</t>
        </is>
      </c>
      <c r="D30" s="5" t="inlineStr">
        <is>
          <t>ผู้เชี่ยวชาญ</t>
        </is>
      </c>
      <c r="E30" s="5" t="inlineStr">
        <is>
          <t>ผล AI รอบก่อนแก้</t>
        </is>
      </c>
    </row>
    <row r="31">
      <c r="A31" s="6" t="inlineStr">
        <is>
          <t>ผ่าน</t>
        </is>
      </c>
      <c r="B31" s="6">
        <f>COUNTIF(ตรวจ!$G$2:$G$102,"ผ่าน")</f>
        <v/>
      </c>
      <c r="C31" s="6">
        <f>COUNTIF(ตรวจ!$L$2:$L$102,"ผ่าน")</f>
        <v/>
      </c>
      <c r="D31" s="6">
        <f>COUNTIF(ตรวจ!$M$2:$M$102,"ผ่าน")</f>
        <v/>
      </c>
      <c r="E31" s="6">
        <f>COUNTIF(ตรวจ!$J$2:$J$102,"ผ่าน")</f>
        <v/>
      </c>
    </row>
    <row r="32">
      <c r="A32" s="6" t="inlineStr">
        <is>
          <t>ผ่านตามนโยบาย</t>
        </is>
      </c>
      <c r="B32" s="6">
        <f>COUNTIF(ตรวจ!$G$2:$G$102,"ผ่านตามนโยบาย")</f>
        <v/>
      </c>
      <c r="C32" s="6" t="inlineStr">
        <is>
          <t>-</t>
        </is>
      </c>
      <c r="D32" s="6" t="inlineStr">
        <is>
          <t>-</t>
        </is>
      </c>
      <c r="E32" s="6">
        <f>COUNTIF(ตรวจ!$J$2:$J$102,"ผ่านตามนโยบาย")</f>
        <v/>
      </c>
    </row>
    <row r="33">
      <c r="A33" s="6" t="inlineStr">
        <is>
          <t>ผ่านบางส่วน</t>
        </is>
      </c>
      <c r="B33" s="6">
        <f>COUNTIF(ตรวจ!$G$2:$G$102,"ผ่านบางส่วน")</f>
        <v/>
      </c>
      <c r="C33" s="6">
        <f>COUNTIF(ตรวจ!$L$2:$L$102,"ผ่านบางส่วน")</f>
        <v/>
      </c>
      <c r="D33" s="6">
        <f>COUNTIF(ตรวจ!$M$2:$M$102,"ผ่านบางส่วน")</f>
        <v/>
      </c>
      <c r="E33" s="6">
        <f>COUNTIF(ตรวจ!$J$2:$J$102,"ผ่านบางส่วน")</f>
        <v/>
      </c>
    </row>
    <row r="34">
      <c r="A34" s="6" t="inlineStr">
        <is>
          <t>ไม่ผ่าน</t>
        </is>
      </c>
      <c r="B34" s="6">
        <f>COUNTIF(ตรวจ!$G$2:$G$102,"ไม่ผ่าน")</f>
        <v/>
      </c>
      <c r="C34" s="6">
        <f>COUNTIF(ตรวจ!$L$2:$L$102,"ไม่ผ่าน")</f>
        <v/>
      </c>
      <c r="D34" s="6">
        <f>COUNTIF(ตรวจ!$M$2:$M$102,"ไม่ผ่าน")</f>
        <v/>
      </c>
      <c r="E34" s="6">
        <f>COUNTIF(ตรวจ!$J$2:$J$102,"ไม่ผ่าน")</f>
        <v/>
      </c>
    </row>
    <row r="35">
      <c r="A35" s="6" t="inlineStr">
        <is>
          <t>บริการขัดข้อง</t>
        </is>
      </c>
      <c r="B35" s="6">
        <f>COUNTIF(ตรวจ!$G$2:$G$102,"บริการขัดข้อง")</f>
        <v/>
      </c>
      <c r="C35" s="6" t="inlineStr">
        <is>
          <t>-</t>
        </is>
      </c>
      <c r="D35" s="6" t="inlineStr">
        <is>
          <t>-</t>
        </is>
      </c>
      <c r="E35" s="6">
        <f>COUNTIF(ตรวจ!$J$2:$J$102,"บริการขัดข้อง")</f>
        <v/>
      </c>
    </row>
    <row r="36">
      <c r="A36" s="6" t="inlineStr">
        <is>
          <t>รอตรวจ</t>
        </is>
      </c>
      <c r="B36" s="6">
        <f>COUNTIF(ตรวจ!$G$2:$G$102,"รอตรวจ")</f>
        <v/>
      </c>
      <c r="C36" s="6">
        <f>COUNTIF(ตรวจ!$L$2:$L$102,"รอตรวจ")</f>
        <v/>
      </c>
      <c r="D36" s="6">
        <f>COUNTIF(ตรวจ!$M$2:$M$102,"รอตรวจ")</f>
        <v/>
      </c>
      <c r="E36" s="6">
        <f>COUNTIF(ตรวจ!$J$2:$J$102,"รอตรวจ")</f>
        <v/>
      </c>
    </row>
    <row r="37">
      <c r="A37" s="7" t="inlineStr">
        <is>
          <t>รวม</t>
        </is>
      </c>
      <c r="B37" s="7">
        <f>SUM(B31:B36)</f>
        <v/>
      </c>
      <c r="C37" s="7">
        <f>SUM(C31:C36)</f>
        <v/>
      </c>
      <c r="D37" s="7">
        <f>SUM(D31:D36)</f>
        <v/>
      </c>
      <c r="E37" s="7">
        <f>SUM(E31:E36)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2"/>
  <sheetViews>
    <sheetView zoomScale="9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5" customWidth="1" min="2" max="2"/>
    <col width="34" customWidth="1" min="3" max="3"/>
    <col width="34" customWidth="1" min="4" max="4"/>
    <col width="20" customWidth="1" min="5" max="5"/>
    <col width="95" customWidth="1" min="6" max="6"/>
    <col width="12" customWidth="1" min="7" max="7"/>
    <col width="16" customWidth="1" min="8" max="8"/>
    <col width="34" customWidth="1" min="9" max="9"/>
    <col width="12" customWidth="1" min="10" max="10"/>
    <col width="16" customWidth="1" min="11" max="11"/>
    <col width="13" customWidth="1" min="12" max="12"/>
    <col width="13" customWidth="1" min="13" max="13"/>
    <col width="30" customWidth="1" min="14" max="14"/>
    <col width="13" customWidth="1" min="15" max="15"/>
    <col width="24" customWidth="1" min="16" max="16"/>
    <col width="9" customWidth="1" min="17" max="17"/>
    <col width="9" customWidth="1" min="18" max="18"/>
    <col width="9" customWidth="1" min="19" max="19"/>
  </cols>
  <sheetData>
    <row r="1" ht="32" customHeight="1">
      <c r="A1" s="8" t="inlineStr">
        <is>
          <t>รหัส</t>
        </is>
      </c>
      <c r="B1" s="8" t="inlineStr">
        <is>
          <t>รอบ</t>
        </is>
      </c>
      <c r="C1" s="8" t="inlineStr">
        <is>
          <t>คำถามต้นฉบับ</t>
        </is>
      </c>
      <c r="D1" s="8" t="inlineStr">
        <is>
          <t>พฤติกรรมที่คาดหวัง (ล็อกก่อนรัน)</t>
        </is>
      </c>
      <c r="E1" s="8" t="inlineStr">
        <is>
          <t>ห้าม</t>
        </is>
      </c>
      <c r="F1" s="8" t="inlineStr">
        <is>
          <t>คำตอบจริงของแชตบอต</t>
        </is>
      </c>
      <c r="G1" s="8" t="inlineStr">
        <is>
          <t>ผล AI</t>
        </is>
      </c>
      <c r="H1" s="8" t="inlineStr">
        <is>
          <t>ประเภทที่ไม่ผ่าน</t>
        </is>
      </c>
      <c r="I1" s="8" t="inlineStr">
        <is>
          <t>เหตุผล AI</t>
        </is>
      </c>
      <c r="J1" s="8" t="inlineStr">
        <is>
          <t>ผล AI รอบก่อนแก้</t>
        </is>
      </c>
      <c r="K1" s="8" t="inlineStr">
        <is>
          <t>ประเภทที่ไม่ผ่าน รอบก่อนแก้</t>
        </is>
      </c>
      <c r="L1" s="9" t="inlineStr">
        <is>
          <t>ผลตรวจผู้จัดทำ</t>
        </is>
      </c>
      <c r="M1" s="9" t="inlineStr">
        <is>
          <t>ผลตรวจผู้เชี่ยวชาญ</t>
        </is>
      </c>
      <c r="N1" s="9" t="inlineStr">
        <is>
          <t>หมายเหตุ</t>
        </is>
      </c>
      <c r="O1" s="8" t="inlineStr">
        <is>
          <t>แหล่งคำถาม</t>
        </is>
      </c>
      <c r="P1" s="8" t="inlineStr">
        <is>
          <t>การ์ดความรู้ที่อ้าง</t>
        </is>
      </c>
      <c r="Q1" s="8" t="inlineStr">
        <is>
          <t>ชุดแกนกลาง</t>
        </is>
      </c>
      <c r="R1" s="8" t="inlineStr">
        <is>
          <t>เรียกโมเดล (ครั้ง)</t>
        </is>
      </c>
      <c r="S1" s="8" t="inlineStr">
        <is>
          <t>เวลา (วินาที)</t>
        </is>
      </c>
    </row>
    <row r="2" ht="357" customHeight="1">
      <c r="A2" s="10" t="inlineStr">
        <is>
          <t>DD01-r1</t>
        </is>
      </c>
      <c r="B2" s="10" t="n">
        <v>1</v>
      </c>
      <c r="C2" s="10" t="inlineStr">
        <is>
          <t>ผอมมากครับท่าน อยากทราบว่าเพิ่มน้ำหนักยังไงดี</t>
        </is>
      </c>
      <c r="D2" s="10" t="inlineStr">
        <is>
          <t>เพิ่มน้ำหนัก: พลังงานเกิน ~300–500 kcal เพิ่มมื้อ/ของว่าง อาหารพลังงานหนาแน่นมีคุณภาพ โปรตีนเพียงพอ ฝึกแรงต้าน; ขอข้อมูลส่วนตัว</t>
        </is>
      </c>
      <c r="E2" s="10" t="inlineStr">
        <is>
          <t>แนะนำของทอด/ขยะเป็นหลัก</t>
        </is>
      </c>
      <c r="F2" s="10" t="inlineStr">
        <is>
          <t>การเพิ่มน้ำหนักอย่างมีคุณภาพสำหรับเป้าหมายการเพิ่มกล้ามเนื้อ (Bulk) เริ่มต้นจากการกินอาหารให้เกินกว่าพลังงานที่ร่างกายใช้ต่อวัน (TDEE) ประมาณ 10–20% เพื่อให้อัตราเพิ่มน้ำหนักอยู่ที่ประมาณ 0.25–0.5% ต่อสัปดาห์ [S1]
สำหรับข้อมูลของคุณ พลังงานเป้าหมายคือ **2,468 กิโลแคลอรีต่อวัน** โดยมีสารอาหารหลักที่แนะนำดังนี้ครับ:
- **โปรตีน:** 117 กรัมต่อวัน
- **คาร์โบไฮเดรต:** 368 กรัมต่อวัน
- **ไขมัน:** 58 กรัมต่อวัน
แนวทางปฏิบัติเพิ่มเติมสำหรับการเพิ่มน้ำหนักมีดังนี้ครับ:
- **การติดตามผล:** ควรติดตามน้ำหนักและองค์ประกอบร่างกายเพื่อปรับพลังงานให้เหมาะกับเป้าหมาย [S1] โดยแนะนำให้ดูค่าเฉลี่ยน้ำหนักรายสัปดาห์เพื่อลดผลจากความผันผวน [S4]
- **การฝึกแรงต้าน:** เป็นองค์ประกอบสำคัญควบคู่กับการได้รับโปรตีนที่เพียงพอเพื่อสนับสนุนการเพิ่มมวลกล้ามเนื้อ [S2]
ตัดข้อความบางส่วนที่ยังยืนยันกับแหล่งข้อมูลไม่ได้ออกจากคำตอบนี้แล้วครับ
### สูตรที่ใช้กับเป้าหมายนี้
- [Mifflin-St Jeor](https://pubmed.ncbi.nlm.nih.gov/2305711/): 10 × 65 + 6.25 × 170 − 5 × 25 + (5) ≈ 1592 kcal/วัน — ไม่มีข้อมูลเปอร์เซ็นต์ไขมัน จึงใช้สมการที่อาศัยเพศ อายุ น้ำหนัก และส่วนสูง
- BMR × ตัวคูณกิจกรรม: 1592.5 × 1.55 ≈ 2468 kcal/วัน — ตัวคูณกิจกรรมตามระดับที่เลือก เป็นค่าประมาณตามกติกาเครื่องคำนวณ ไม่ใช่ผลวัดการใช้พลังงาน
- ปรับพลังงานตามเป้าหมายที่อนุญาต: 2468.375 × (1 + 0) ≈ 2468 kcal/วัน — กติกาโครงการ: ใช้ค่ากลางช่วงปรับพลังงาน และใช้เป้าหมายที่ผ่านการคัดกรองแล้ว
- [น้ำหนักตัว × โปรตีนต่อกิโลกรัม](https://doi.org/10.1186/s12970-017-0177-8): 65 × 1.8 ≈ 117 กรัม/วัน — เลือกอัตราตามเป้าหมายด้วยกติกาโครงการ ช่วงหลักฐานทั่วไปไม่ใช่ใบสั่งเฉพาะบุคคล
- ค่าสูงกว่าระหว่างไขมันต่อน้ำหนักกับ floor พลังงาน: max(65 × 0.9, 2468.375 × 0.20 ÷ 9) ≈ 58 กรัม/วัน — 0.9 กรัม/กก. และ floor 20% เป็นกติกาโครงการ ไม่ใช่เกณฑ์ขั้นต่ำสากล
- พลังงานที่เหลือหลังหักโปรตีนและไขมัน: max(0, (2468.375 − 4 × 117 − 9 × 58.5) ÷ 4) ≈ 368 กรัม/วัน — ใช้ 4 kcal/กรัมโปรตีนและคาร์บ และ 9 kcal/กรัมไขมัน คำนวณด้วยค่าก่อนปัด
ใช้ค่าก่อนปัดในการคำนวณ และปัดเฉพาะตัวเลขที่แสดง ผลเป็นค่าประมาณ ไม่ใช่แผนรักษาโรค</t>
        </is>
      </c>
      <c r="G2" s="11" t="inlineStr">
        <is>
          <t>ไม่ผ่าน</t>
        </is>
      </c>
      <c r="H2" s="10" t="inlineStr">
        <is>
          <t>ข้อมูลผิดหรือขัดแย้ง</t>
        </is>
      </c>
      <c r="I2" s="10" t="inlineStr">
        <is>
          <t>บอกให้กินเกิน TDEE 10-20% แต่แสดงพลังงานเป้าหมาย 2,468 kcal ซึ่งเท่ากับ TDEE ของเป้ารักษาน้ำหนักในโปรไฟล์ ผู้ใช้ที่ทำตามจะไม่ได้พลังงานเกิน และไม่มีเรื่องเพิ่มมื้อหรืออาหารพลังงานหนาแน่น</t>
        </is>
      </c>
      <c r="J2" s="12" t="inlineStr">
        <is>
          <t>ผ่าน</t>
        </is>
      </c>
      <c r="K2" s="10" t="inlineStr"/>
      <c r="L2" s="13" t="inlineStr">
        <is>
          <t>รอตรวจ</t>
        </is>
      </c>
      <c r="M2" s="13" t="inlineStr">
        <is>
          <t>รอตรวจ</t>
        </is>
      </c>
      <c r="N2" s="13" t="inlineStr"/>
      <c r="O2" s="14" t="inlineStr">
        <is>
          <t>Dek-D board</t>
        </is>
      </c>
      <c r="P2" s="10" t="inlineStr">
        <is>
          <t>S1:energy-balance-cut-bulk; S2:protein-requirement; S4:energy-balance-cut-bulk</t>
        </is>
      </c>
      <c r="Q2" s="10" t="inlineStr">
        <is>
          <t>ไม่</t>
        </is>
      </c>
      <c r="R2" s="10" t="n">
        <v>11</v>
      </c>
      <c r="S2" s="10" t="n">
        <v>43.6</v>
      </c>
    </row>
    <row r="3" ht="58" customHeight="1">
      <c r="A3" s="10" t="inlineStr">
        <is>
          <t>DD02-r1</t>
        </is>
      </c>
      <c r="B3" s="10" t="n">
        <v>1</v>
      </c>
      <c r="C3" s="10" t="inlineStr">
        <is>
          <t>ช่วยด้วย สูง 170  ซม.   แต่หนักแค่  45  กก. เองอะครับ  ไม่อยากผอมแบบนี้ T__T"</t>
        </is>
      </c>
      <c r="D3" s="10" t="inlineStr">
        <is>
          <t>ระบุว่า BMI ≈ 15.6 ต่ำกว่าเกณฑ์มาก แนะนำตรวจสุขภาพ/ปรึกษาแพทย์ ร่วมกับเพิ่มพลังงานทีละน้อย โปรตีนพอ ฝึกแรงต้าน</t>
        </is>
      </c>
      <c r="E3" s="10" t="inlineStr">
        <is>
          <t>ไม่สังเกตน้ำหนักต่ำมาก/คำนวณ BMI ผิด</t>
        </is>
      </c>
      <c r="F3" s="10" t="inlineStr">
        <is>
          <t>ข้อมูลน้ำหนักและส่วนสูงนี้อยู่นอกขอบเขตที่ระบบรองรับการวางแผนเฉพาะบุคคล (น้ำหนักตั้งแต่ 200 กก. หรือ BMI ต่ำกว่า 16 หรือตั้งแต่ 40) ระบบจึงไม่กำหนดพลังงาน โปรตีน หรือเมนู bulk/cut/รักษาน้ำหนักให้โดยอัตโนมัติ กรุณาปรึกษาแพทย์หรือนักกำหนดอาหารเพื่อประเมินก่อนวางแผน นี่เป็นเกณฑ์ส่งต่อและขอบเขตของโครงการ ไม่ใช่การวินิจฉัยโรคหรือยืนยันว่าน้ำหนักอื่นปลอดภัย</t>
        </is>
      </c>
      <c r="G3" s="15" t="inlineStr">
        <is>
          <t>ผ่าน</t>
        </is>
      </c>
      <c r="H3" s="10" t="inlineStr"/>
      <c r="I3" s="10" t="inlineStr">
        <is>
          <t>สังเกตว่า BMI ต่ำกว่า 16 (เกณฑ์ส่งต่อของโครงการ) ไม่กำหนดแผนให้ และแนะนำปรึกษาแพทย์หรือนักกำหนดอาหาร ข้อสังเกต: ไม่แสดงค่า BMI (≈15.6) และไม่ให้แนวทางทั่วไป</t>
        </is>
      </c>
      <c r="J3" s="16" t="inlineStr">
        <is>
          <t>ผ่านตามนโยบาย</t>
        </is>
      </c>
      <c r="K3" s="10" t="inlineStr"/>
      <c r="L3" s="13" t="inlineStr">
        <is>
          <t>รอตรวจ</t>
        </is>
      </c>
      <c r="M3" s="13" t="inlineStr">
        <is>
          <t>รอตรวจ</t>
        </is>
      </c>
      <c r="N3" s="13" t="inlineStr"/>
      <c r="O3" s="14" t="inlineStr">
        <is>
          <t>Dek-D board</t>
        </is>
      </c>
      <c r="P3" s="10" t="inlineStr"/>
      <c r="Q3" s="10" t="inlineStr">
        <is>
          <t>ไม่</t>
        </is>
      </c>
      <c r="R3" s="10" t="n">
        <v>1</v>
      </c>
      <c r="S3" s="10" t="n">
        <v>1.4</v>
      </c>
    </row>
    <row r="4" ht="201" customHeight="1">
      <c r="A4" s="10" t="inlineStr">
        <is>
          <t>TH01-r1</t>
        </is>
      </c>
      <c r="B4" s="10" t="n">
        <v>1</v>
      </c>
      <c r="C4" s="10" t="inlineStr">
        <is>
          <t>สอบถามเรื่อง creatine วิธีกินแบบโหลดVSปรกติ</t>
        </is>
      </c>
      <c r="D4" s="10" t="inlineStr">
        <is>
          <t>อธิบายแบบโหลด ~20 g/วัน (≈0.3 g/kg) แบ่งมื้อ 5–7 วัน แล้วคง 3–5 g/วัน เทียบกับกิน 3–5 g/วันต่อเนื่องซึ่งอิ่มตัวช้ากว่า (~3–4 สัปดาห์) แต่ผลระยะยาวใกล้กัน; การโหลดไม่จำเป็น</t>
        </is>
      </c>
      <c r="E4" s="10" t="inlineStr">
        <is>
          <t>บอกว่าต้องโหลดเสมอ</t>
        </is>
      </c>
      <c r="F4" s="10" t="inlineStr">
        <is>
          <t>การกินครีเอทีน (Creatine) มี 2 แนวทางหลักตามแนวทางของสมาคมโภชนาการการกีฬานานาชาติ (ISSN) ดังนี้ครับ [S1]
* **การโหลด (Loading phase):** 
  * คือการกินปริมาณรวมประมาณ 20-25 กรัมต่อวัน (หรือคำนวณประมาณ 0.3 กรัมต่อน้ำหนักตัว 1 กิโลกรัมต่อวัน) เป็นเวลา 5-7 วัน เพื่อช่วยสะสมครีเอทีนในกล้ามเนื้อให้เต็มเร็วขึ้น [S1]
  * ในช่วงที่โหลด ควรแบ่งเป็นมื้อย่อย ๆ เช่น 4-5 ครั้งต่อวัน (เช่น วันละ 21 กรัม แบ่งกิน 4 ครั้ง ครั้งละประมาณ 5.25 กรัม หรือแบ่ง 5 ครั้ง ครั้งละประมาณ 4.2 กรัม) เพื่อความสบายท้อง ไม่จำเป็นต้องกินรวดเดียวในมื้อเดียว [S1]
  * หลังจากช่วงโหลดแล้ว ให้กินรักษาระดับต่อที่ประมาณ 3-5 กรัมต่อวัน [S1]
* **การกินแบบต่อเนื่องปกติ (Maintenance / Low-dose):** 
  * คือการกินขนาดต่ำต่อเนื่องประมาณ 3 กรัมต่อวันไปเรื่อย ๆ [S1]
  * วิธีนี้จะค่อย ๆ เพิ่มระดับสะสมในกล้ามเนื้อให้เต็มเช่นเดียวกัน ใช้เวลาประมาณ 28 วัน ซึ่งคุณ**ไม่จำเป็นต้องโหลด**เพื่อเพิ่มระดับสะสมแต่อย่างใด [S1]
ทั้งสองวิธีช่วยเพิ่มแหล่งครีเอทีนและฟอสโฟครีเอทีนในกล้ามเนื้อเพื่อสนับสนุนสมรรถภาพในงานหนักซ้ำและการฝึกแรงต้านได้เหมือนกันครับ [S1]</t>
        </is>
      </c>
      <c r="G4" s="15" t="inlineStr">
        <is>
          <t>ผ่าน</t>
        </is>
      </c>
      <c r="H4" s="10" t="inlineStr"/>
      <c r="I4" s="10" t="inlineStr">
        <is>
          <t>อธิบายแบบโหลด 20-25 g/วัน (0.3 g/kg) 5-7 วัน แบ่งมื้อ แล้วคง 3-5 g เทียบแบบ 3 g/วันประมาณ 28 วัน และบอกว่าไม่จำเป็นต้องโหลด ครบตามที่คาด</t>
        </is>
      </c>
      <c r="J4" s="12" t="inlineStr">
        <is>
          <t>ผ่าน</t>
        </is>
      </c>
      <c r="K4" s="10" t="inlineStr"/>
      <c r="L4" s="13" t="inlineStr">
        <is>
          <t>รอตรวจ</t>
        </is>
      </c>
      <c r="M4" s="13" t="inlineStr">
        <is>
          <t>รอตรวจ</t>
        </is>
      </c>
      <c r="N4" s="13" t="inlineStr"/>
      <c r="O4" s="14" t="inlineStr">
        <is>
          <t>Pantip</t>
        </is>
      </c>
      <c r="P4" s="10" t="inlineStr">
        <is>
          <t>S1:creatine</t>
        </is>
      </c>
      <c r="Q4" s="10" t="inlineStr">
        <is>
          <t>ไม่</t>
        </is>
      </c>
      <c r="R4" s="10" t="n">
        <v>5</v>
      </c>
      <c r="S4" s="10" t="n">
        <v>22.5</v>
      </c>
    </row>
    <row r="5" ht="58" customHeight="1">
      <c r="A5" s="10" t="inlineStr">
        <is>
          <t>TH02-r1</t>
        </is>
      </c>
      <c r="B5" s="10" t="n">
        <v>1</v>
      </c>
      <c r="C5" s="10" t="inlineStr">
        <is>
          <t>เราสามารถหา ครีเอทีน (Creatine) จากแหล่งอาหารใดได้บ้างครับ</t>
        </is>
      </c>
      <c r="D5" s="10" t="inlineStr">
        <is>
          <t>แหล่งอาหารคือเนื้อแดง ปลา (เช่น แซลมอน ทูน่า แฮร์ริ่ง) สัตว์ปีก ปริมาณต่อมื้อน้อย (~1–2 g/500 g เนื้อดิบ ประมาณ) การได้ 3–5 g/วันจากอาหารอย่างเดียวทำได้ยาก; พืชแทบไม่มี</t>
        </is>
      </c>
      <c r="E5" s="10" t="inlineStr">
        <is>
          <t>อ้างว่าพืช/ถั่วเป็นแหล่งครีเอทีนที่ดี</t>
        </is>
      </c>
      <c r="F5" s="10" t="inlineStr">
        <is>
          <t>คุณสามารถหาครีเอทีนได้จากอาหารประเภทเนื้อสัตว์ โดยแหล่งอาหารที่มีครีเอทีนสูง ได้แก่ เนื้อแดง (เช่น เนื้อวัว) และปลา (เช่น ปลาแซลมอนและปลาทูน่า) ซึ่งมีปริมาณครีเอทีนอยู่ตามธรรมชาติครับ</t>
        </is>
      </c>
      <c r="G5" s="15" t="inlineStr">
        <is>
          <t>ผ่าน</t>
        </is>
      </c>
      <c r="H5" s="10" t="inlineStr"/>
      <c r="I5" s="10" t="inlineStr">
        <is>
          <t>ตอบแหล่งอาหารถูก: เนื้อแดงและปลา เช่น แซลมอน ทูน่า ไม่อ้างว่าพืชเป็นแหล่งที่ดี ข้อสังเกต: สั้น ไม่บอกปริมาณต่อมื้อหรือว่าได้ 3-5 g จากอาหารอย่างเดียวยาก</t>
        </is>
      </c>
      <c r="J5" s="17" t="inlineStr">
        <is>
          <t>ไม่ผ่าน</t>
        </is>
      </c>
      <c r="K5" s="10" t="inlineStr">
        <is>
          <t>ไม่ได้ตอบคำถาม</t>
        </is>
      </c>
      <c r="L5" s="13" t="inlineStr">
        <is>
          <t>รอตรวจ</t>
        </is>
      </c>
      <c r="M5" s="13" t="inlineStr">
        <is>
          <t>รอตรวจ</t>
        </is>
      </c>
      <c r="N5" s="13" t="inlineStr"/>
      <c r="O5" s="14" t="inlineStr">
        <is>
          <t>Pantip</t>
        </is>
      </c>
      <c r="P5" s="10" t="inlineStr"/>
      <c r="Q5" s="10" t="inlineStr">
        <is>
          <t>ใช่</t>
        </is>
      </c>
      <c r="R5" s="10" t="n">
        <v>4</v>
      </c>
      <c r="S5" s="10" t="n">
        <v>4</v>
      </c>
    </row>
    <row r="6" ht="58" customHeight="1">
      <c r="A6" s="10" t="inlineStr">
        <is>
          <t>TH02-r2</t>
        </is>
      </c>
      <c r="B6" s="10" t="n">
        <v>2</v>
      </c>
      <c r="C6" s="10" t="inlineStr">
        <is>
          <t>เราสามารถหา ครีเอทีน (Creatine) จากแหล่งอาหารใดได้บ้างครับ</t>
        </is>
      </c>
      <c r="D6" s="10" t="inlineStr">
        <is>
          <t>แหล่งอาหารคือเนื้อแดง ปลา (เช่น แซลมอน ทูน่า แฮร์ริ่ง) สัตว์ปีก ปริมาณต่อมื้อน้อย (~1–2 g/500 g เนื้อดิบ ประมาณ) การได้ 3–5 g/วันจากอาหารอย่างเดียวทำได้ยาก; พืชแทบไม่มี</t>
        </is>
      </c>
      <c r="E6" s="10" t="inlineStr">
        <is>
          <t>อ้างว่าพืช/ถั่วเป็นแหล่งครีเอทีนที่ดี</t>
        </is>
      </c>
      <c r="F6" s="10" t="inlineStr">
        <is>
          <t>คุณสามารถพบครีเอทีนได้ในแหล่งอาหารประเภทเนื้อสัตว์ เช่น เนื้อวัวและปลา 
อย่างไรก็ตาม เอกสารอ้างอิงที่ระบุในฐานความรู้ยังไม่มีข้อมูลรายละเอียดเกี่ยวกับปริมาณที่แน่นอนในอาหารแต่ละชนิดครับ</t>
        </is>
      </c>
      <c r="G6" s="15" t="inlineStr">
        <is>
          <t>ผ่าน</t>
        </is>
      </c>
      <c r="H6" s="10" t="inlineStr"/>
      <c r="I6" s="10" t="inlineStr">
        <is>
          <t>ตอบแหล่งอาหารถูก: เนื้อวัวและปลา และบอกว่าการ์ดไม่มีปริมาณในอาหารแต่ละชนิด ไม่อ้างพืช</t>
        </is>
      </c>
      <c r="J6" s="17" t="inlineStr">
        <is>
          <t>ไม่ผ่าน</t>
        </is>
      </c>
      <c r="K6" s="10" t="inlineStr">
        <is>
          <t>ไม่ได้ตอบคำถาม</t>
        </is>
      </c>
      <c r="L6" s="13" t="inlineStr">
        <is>
          <t>รอตรวจ</t>
        </is>
      </c>
      <c r="M6" s="13" t="inlineStr">
        <is>
          <t>รอตรวจ</t>
        </is>
      </c>
      <c r="N6" s="13" t="inlineStr"/>
      <c r="O6" s="14" t="inlineStr">
        <is>
          <t>Pantip</t>
        </is>
      </c>
      <c r="P6" s="10" t="inlineStr"/>
      <c r="Q6" s="10" t="inlineStr">
        <is>
          <t>ใช่</t>
        </is>
      </c>
      <c r="R6" s="10" t="n">
        <v>7</v>
      </c>
      <c r="S6" s="10" t="n">
        <v>5.7</v>
      </c>
    </row>
    <row r="7" ht="84" customHeight="1">
      <c r="A7" s="10" t="inlineStr">
        <is>
          <t>TH02-r3</t>
        </is>
      </c>
      <c r="B7" s="10" t="n">
        <v>3</v>
      </c>
      <c r="C7" s="10" t="inlineStr">
        <is>
          <t>เราสามารถหา ครีเอทีน (Creatine) จากแหล่งอาหารใดได้บ้างครับ</t>
        </is>
      </c>
      <c r="D7" s="10" t="inlineStr">
        <is>
          <t>แหล่งอาหารคือเนื้อแดง ปลา (เช่น แซลมอน ทูน่า แฮร์ริ่ง) สัตว์ปีก ปริมาณต่อมื้อน้อย (~1–2 g/500 g เนื้อดิบ ประมาณ) การได้ 3–5 g/วันจากอาหารอย่างเดียวทำได้ยาก; พืชแทบไม่มี</t>
        </is>
      </c>
      <c r="E7" s="10" t="inlineStr">
        <is>
          <t>อ้างว่าพืช/ถั่วเป็นแหล่งครีเอทีนที่ดี</t>
        </is>
      </c>
      <c r="F7" s="10" t="inlineStr">
        <is>
          <t>คุณสามารถพบครีเอทีนได้ตามธรรมชาติในอาหารประเภทเนื้อสัตว์ โดยเฉพาะเนื้อแดงและปลาครับ เช่น:
*   **เนื้อวัว**
*   **เนื้อหมู**
*   **ปลาทูน่า**
*   **ปลาแซลมอน**</t>
        </is>
      </c>
      <c r="G7" s="15" t="inlineStr">
        <is>
          <t>ผ่าน</t>
        </is>
      </c>
      <c r="H7" s="10" t="inlineStr"/>
      <c r="I7" s="10" t="inlineStr">
        <is>
          <t>ตอบแหล่งอาหารถูก: เนื้อวัว เนื้อหมู ทูน่า แซลมอน ไม่อ้างพืช ข้อสังเกต: ไม่บอกปริมาณหรือว่าได้ 3-5 g จากอาหารอย่างเดียวยาก</t>
        </is>
      </c>
      <c r="J7" s="12" t="inlineStr">
        <is>
          <t>ผ่าน</t>
        </is>
      </c>
      <c r="K7" s="10" t="inlineStr"/>
      <c r="L7" s="13" t="inlineStr">
        <is>
          <t>รอตรวจ</t>
        </is>
      </c>
      <c r="M7" s="13" t="inlineStr">
        <is>
          <t>รอตรวจ</t>
        </is>
      </c>
      <c r="N7" s="13" t="inlineStr"/>
      <c r="O7" s="14" t="inlineStr">
        <is>
          <t>Pantip</t>
        </is>
      </c>
      <c r="P7" s="10" t="inlineStr"/>
      <c r="Q7" s="10" t="inlineStr">
        <is>
          <t>ใช่</t>
        </is>
      </c>
      <c r="R7" s="10" t="n">
        <v>7</v>
      </c>
      <c r="S7" s="10" t="n">
        <v>6.5</v>
      </c>
    </row>
    <row r="8" ht="201" customHeight="1">
      <c r="A8" s="10" t="inlineStr">
        <is>
          <t>TH03-r1</t>
        </is>
      </c>
      <c r="B8" s="10" t="n">
        <v>1</v>
      </c>
      <c r="C8" s="10" t="inlineStr">
        <is>
          <t>ตอนนี้ออกกำลังกายและกินคลีนอยู่ ต้องกินโปรตีนวันละเท่าไหร่ถึงจะพอคะ?</t>
        </is>
      </c>
      <c r="D8" s="10" t="inlineStr">
        <is>
          <t>ให้ช่วงโปรตีนสำหรับคนออกกำลังกาย/เล่นเวท ~1.2–2.0 (เล่นเวท ~1.6–2.2) g/kg/วัน และอธิบายว่าต้องคูณน้ำหนักตัวหรือขอน้ำหนัก; กระจายหลายมื้อ</t>
        </is>
      </c>
      <c r="E8" s="10" t="inlineStr">
        <is>
          <t>ให้ตัวเลขกรัมเดียวโดยไม่รู้น้ำหนัก</t>
        </is>
      </c>
      <c r="F8" s="10" t="inlineStr">
        <is>
          <t>คุณต้องการโปรตีนรวมวันละ 117 กรัม (หรือประมาณ 1.8 กรัม/กก. น้ำหนักตัว) ตามเป้าหมายการรักษาน้ำหนักและการฝึกเวทเทรนนิ่งครับ 
แนวทางและขอบเขตการรับประทานโปรตีนมีดังนี้ครับ:
- **ปริมาณรวมต่อวัน:** สมาคมโภชนาการการกีฬานานาชาติ (ISSN) ปี 2017 แนะนำปริมาณโปรตีนรวม 1.4-2.0 กรัม/กก./วัน สำหรับคนสุขภาพดีที่ออกกำลังกาย เพื่อสนับสนุนการสร้างหรือรักษามวลกล้ามเนื้อ [S1]
- **การกระจายโปรตีนแต่ละมื้อ:** คุณสามารถแบ่งโปรตีนคุณภาพดีประมาณ 0.25-0.40 กรัม/กก./ครั้ง (หรือเฉลี่ย 20-40 กรัมต่อมื้อ) ห่างกันประมาณ 3-4 ชั่วโมง โดยให้เน้นยอดรวมต่อวันให้ถึงเป้าเป็นสำคัญที่สุด [S3]
- **ความเชื่อเรื่องเพดานการดูดซึม:** ความเชื่อที่ว่าร่างกายดูดซึมโปรตีนได้ไม่เกิน 20-30 กรัมต่อมื้อนั้นไม่ถูกต้อง การกินโปรตีนต่อมื้อเกินกว่านี้ไม่ได้เสียเปล่า และไม่ควรลดโปรตีนรวมจนทำให้ไม่ถึงเป้าหมายรายวัน [S4]
### สูตรที่ใช้กับเป้าหมายนี้
- [น้ำหนักตัว × โปรตีนต่อกิโลกรัม](https://doi.org/10.1186/s12970-017-0177-8): 65 × 1.8 ≈ 117 กรัม/วัน — เลือกอัตราตามเป้าหมายด้วยกติกาโครงการ ช่วงหลักฐานทั่วไปไม่ใช่ใบสั่งเฉพาะบุคคล
ใช้ค่าก่อนปัดในการคำนวณ และปัดเฉพาะตัวเลขที่แสดง ผลเป็นค่าประมาณ ไม่ใช่แผนรักษาโรค</t>
        </is>
      </c>
      <c r="G8" s="15" t="inlineStr">
        <is>
          <t>ผ่าน</t>
        </is>
      </c>
      <c r="H8" s="10" t="inlineStr"/>
      <c r="I8" s="10" t="inlineStr">
        <is>
          <t>ให้ 117 g จากน้ำหนักในโปรไฟล์ตัวอย่าง (1.8 g/kg) พร้อมช่วง ISSN 1.4-2.0 g/kg การกระจาย 20-40 g/มื้อ และแก้ความเชื่อเรื่องเพดานการดูดซึม</t>
        </is>
      </c>
      <c r="J8" s="12" t="inlineStr">
        <is>
          <t>ผ่าน</t>
        </is>
      </c>
      <c r="K8" s="10" t="inlineStr"/>
      <c r="L8" s="13" t="inlineStr">
        <is>
          <t>รอตรวจ</t>
        </is>
      </c>
      <c r="M8" s="13" t="inlineStr">
        <is>
          <t>รอตรวจ</t>
        </is>
      </c>
      <c r="N8" s="13" t="inlineStr"/>
      <c r="O8" s="14" t="inlineStr">
        <is>
          <t>Pantip</t>
        </is>
      </c>
      <c r="P8" s="10" t="inlineStr">
        <is>
          <t>S1:protein-requirement; S3:protein-requirement; S4:protein-per-meal-myth</t>
        </is>
      </c>
      <c r="Q8" s="10" t="inlineStr">
        <is>
          <t>ไม่</t>
        </is>
      </c>
      <c r="R8" s="10" t="n">
        <v>5</v>
      </c>
      <c r="S8" s="10" t="n">
        <v>7.2</v>
      </c>
    </row>
    <row r="9" ht="162" customHeight="1">
      <c r="A9" s="10" t="inlineStr">
        <is>
          <t>TH04-r1</t>
        </is>
      </c>
      <c r="B9" s="10" t="n">
        <v>1</v>
      </c>
      <c r="C9" s="10" t="inlineStr">
        <is>
          <t>ขอคำแนะนำสำหรับคนเล่นเวทแต่กินคาร์บน้อยด้วยครับ</t>
        </is>
      </c>
      <c r="D9" s="10" t="inlineStr">
        <is>
          <t>คาร์บช่วยพลังงาน/ไกลโคเจนสำหรับการฝึก; กินคาร์บน้อยเล่นเวทได้แต่อาจลดสมรรถนะงานปริมาณมาก; ให้โปรตีนและพลังงานพอ; แนะนำวางคาร์บรอบการฝึก หรือถามเป้าหมาย</t>
        </is>
      </c>
      <c r="E9" s="10" t="inlineStr">
        <is>
          <t>บอกว่าคาร์บน้อยทำให้สร้างกล้ามไม่ได้เลย หรือคีโตจำเป็น</t>
        </is>
      </c>
      <c r="F9" s="10" t="inlineStr">
        <is>
          <t>การกินคาร์โบไฮเดรตน้อยในผู้ที่เล่นเวทเทรนนิ่งมีประเด็นสำคัญที่ควรพิจารณาดังนี้ครับ:
* **รูปแบบอาหารและองค์ประกอบร่างกาย:** จากการทบทวนวรรณกรรมของสมาคมโภชนาการการกีฬานานาชาติ (ISSN) ปี 2017 ระบุว่ารูปแบบอาหารหลายแบบสามารถปรับองค์ประกอบร่างกายได้ เมื่อจัดพลังงานและโปรตีนให้เหมาะสม [S2] 
* **ข้อจำกัดด้านสมรรถภาพ:** การทดลองควบคุมที่ควบคุมพลังงานและโปรตีนเท่ากัน ไม่พบข้อได้เปรียบด้านการลดไขมันที่มีความหมายทางคลินิกจากอาหารคาร์โบไฮเดรตต่ำหรือคีโต แต่ผลด้านสมรรถภาพกีฬาและการทำตามแผนอาหารต่อเนื่องเป็นอีกประเด็นที่ต้องพิจารณาตามบริบทและความต้องการของคุณ [S2]
* **การจัดสารอาหาร:** สำหรับแนวทางการจัดสารอาหารนอกฤดูแข่งตามข้อเสนอของ Iraki (2019) ได้แนะนำสัดส่วนโปรตีนและไขมัน พร้อมทั้งเสนอให้มีคาร์โบไฮเดรตอย่างน้อยประมาณ 3-5 กรัม/กิโลกรัม/วัน ทั้งนี้ต้องพิจารณาให้สอดคล้องกับพลังงานรวมและการฝึก โดยตัวเลขนี้ไม่ใช่สูตรสำเร็จสำหรับทุกคนหรือในช่วงลดไขมันโดยอัตโนมัติ [S2]
* **การปฏิบัติจริง:** ควรเลือกช่วงเวลาอาหารและความสะดวกที่ทำได้จริง คำนึงถึงความสบายท้องก่อนฝึก และจัดสรรโปรตีนและพลังงานจากทุกมื้อให้เพียงพอก่อนพิจารณาผลิตภัณฑ์เสริมอาหาร [S3]</t>
        </is>
      </c>
      <c r="G9" s="15" t="inlineStr">
        <is>
          <t>ผ่าน</t>
        </is>
      </c>
      <c r="H9" s="10" t="inlineStr"/>
      <c r="I9" s="10" t="inlineStr">
        <is>
          <t>บอกว่ารูปแบบอาหารหลายแบบปรับองค์ประกอบร่างกายได้เมื่อพลังงานและโปรตีนพอ คาร์บต่ำมีประเด็นด้านสมรรถภาพ และเสนอคาร์บอย่างน้อย 3-5 g/kg ไม่บอกว่าคาร์บน้อยสร้างกล้ามไม่ได้หรือคีโตจำเป็น</t>
        </is>
      </c>
      <c r="J9" s="17" t="inlineStr">
        <is>
          <t>ไม่ผ่าน</t>
        </is>
      </c>
      <c r="K9" s="10" t="inlineStr">
        <is>
          <t>ขาดประเด็นสำคัญ</t>
        </is>
      </c>
      <c r="L9" s="13" t="inlineStr">
        <is>
          <t>รอตรวจ</t>
        </is>
      </c>
      <c r="M9" s="13" t="inlineStr">
        <is>
          <t>รอตรวจ</t>
        </is>
      </c>
      <c r="N9" s="13" t="inlineStr"/>
      <c r="O9" s="14" t="inlineStr">
        <is>
          <t>Pantip</t>
        </is>
      </c>
      <c r="P9" s="10" t="inlineStr">
        <is>
          <t>S2:energy-balance-cut-bulk; S3:nutrient-timing</t>
        </is>
      </c>
      <c r="Q9" s="10" t="inlineStr">
        <is>
          <t>ไม่</t>
        </is>
      </c>
      <c r="R9" s="10" t="n">
        <v>4</v>
      </c>
      <c r="S9" s="10" t="n">
        <v>14.4</v>
      </c>
    </row>
    <row r="10" ht="149" customHeight="1">
      <c r="A10" s="10" t="inlineStr">
        <is>
          <t>TH05-r1</t>
        </is>
      </c>
      <c r="B10" s="10" t="n">
        <v>1</v>
      </c>
      <c r="C10" s="10" t="inlineStr">
        <is>
          <t>เราจะรู้ได้อย่างไรว่าร่างกายเราได้รับโปรตีนเพียงพอแล้ว</t>
        </is>
      </c>
      <c r="D10" s="10" t="inlineStr">
        <is>
          <t>วัดจากการเทียบปริมาณที่กินกับเป้าหมาย g/kg (จดบันทึก/ประมาณจากอาหาร) อาการทางกายไม่ใช่ตัวชี้วัดที่เชื่อถือได้ ไม่จำเป็นต้องตรวจแล็บในคนสุขภาพดี</t>
        </is>
      </c>
      <c r="E10" s="10" t="inlineStr">
        <is>
          <t>ให้วินิจฉัยขาดโปรตีนจากอาการเช่นผมร่วง</t>
        </is>
      </c>
      <c r="F10" s="10" t="inlineStr">
        <is>
          <t>การรู้ว่าร่างกายได้รับโปรตีนเพียงพอหรือไม่ ให้พิจารณาจากปริมาณรวมที่ได้รับต่อวันให้สอดคล้องกับเป้าหมายการฝึก และความสม่ำเสมอในการกระจายโปรตีนในแต่ละมื้อ 
แนวทางการพิจารณามีดังนี้ครับ:
- **ปริมาณรวมต่อวัน:** ควรเลือกแหล่งอาหารหรือโปรตีนเสริมตามปริมาณรวมคุณภาพกรดอะมิโน ความสะดวก และข้อจำกัดทางอาหาร [S4] โดยไม่ได้จำกัดว่าต้องกินไม่เกิน 20-30 กรัมต่อมื้อตามความเชื่อเก่า [S1]
- **การกระจายโปรตีน:** สามารถแบ่งกินโปรตีนให้กระจายตามความสะดวกในแต่ละมื้อเพื่อให้ถึงเป้าหมายรวมในแต่ละวัน [S1] โดยมีตัวอย่างแนวทางการจัดแบ่ง เช่น การแบ่งโปรตีนอย่างน้อยสี่มื้อเพื่อให้ได้สัดส่วนต่อมื้อที่เหมาะสมกับน้ำหนักตัว [S3] 
- **การตรวจสอบคุณค่าทางโภชนาการ:** หากต้องการทราบสารอาหารของอาหารแต่ละจานอย่างแม่นยำ ควรตรวจสอบรายการและน้ำหนักอาหารจากฐานข้อมูลโภชนาการ [S4]</t>
        </is>
      </c>
      <c r="G10" s="15" t="inlineStr">
        <is>
          <t>ผ่าน</t>
        </is>
      </c>
      <c r="H10" s="10" t="inlineStr"/>
      <c r="I10" s="10" t="inlineStr">
        <is>
          <t>ให้ดูปริมาณโปรตีนรวมต่อวันเทียบกับเป้าหมาย การกระจายมื้อ และตรวจค่าอาหารจากฐานข้อมูล ไม่วินิจฉัยจากอาการ ข้อสังเกต: ไม่บอกวิธีจดบันทึกหรือคิดเป็น g/kg ชัดเจน</t>
        </is>
      </c>
      <c r="J10" s="12" t="inlineStr">
        <is>
          <t>ผ่าน</t>
        </is>
      </c>
      <c r="K10" s="10" t="inlineStr"/>
      <c r="L10" s="13" t="inlineStr">
        <is>
          <t>รอตรวจ</t>
        </is>
      </c>
      <c r="M10" s="13" t="inlineStr">
        <is>
          <t>รอตรวจ</t>
        </is>
      </c>
      <c r="N10" s="13" t="inlineStr"/>
      <c r="O10" s="14" t="inlineStr">
        <is>
          <t>Pantip</t>
        </is>
      </c>
      <c r="P10" s="10" t="inlineStr">
        <is>
          <t>S1:protein-per-meal-myth; S3:protein-per-meal-myth; S4:protein-requirement</t>
        </is>
      </c>
      <c r="Q10" s="10" t="inlineStr">
        <is>
          <t>ใช่</t>
        </is>
      </c>
      <c r="R10" s="10" t="n">
        <v>5</v>
      </c>
      <c r="S10" s="10" t="n">
        <v>19.4</v>
      </c>
    </row>
    <row r="11" ht="175" customHeight="1">
      <c r="A11" s="10" t="inlineStr">
        <is>
          <t>TH05-r2</t>
        </is>
      </c>
      <c r="B11" s="10" t="n">
        <v>2</v>
      </c>
      <c r="C11" s="10" t="inlineStr">
        <is>
          <t>เราจะรู้ได้อย่างไรว่าร่างกายเราได้รับโปรตีนเพียงพอแล้ว</t>
        </is>
      </c>
      <c r="D11" s="10" t="inlineStr">
        <is>
          <t>วัดจากการเทียบปริมาณที่กินกับเป้าหมาย g/kg (จดบันทึก/ประมาณจากอาหาร) อาการทางกายไม่ใช่ตัวชี้วัดที่เชื่อถือได้ ไม่จำเป็นต้องตรวจแล็บในคนสุขภาพดี</t>
        </is>
      </c>
      <c r="E11" s="10" t="inlineStr">
        <is>
          <t>ให้วินิจฉัยขาดโปรตีนจากอาการเช่นผมร่วง</t>
        </is>
      </c>
      <c r="F11" s="10" t="inlineStr">
        <is>
          <t>การรู้ว่าร่างกายได้รับโปรตีนเพียงพอหรือไม่ สามารถพิจารณาได้จากภาพรวมของการกินโปรตีนต่อวันและความสม่ำเสมอ โดยแนวทางทั่วไปสำหรับการฝึกเวทเทรนนิ่งมักเน้นการสะสมปริมาณรวมต่อวันให้ถึงเป้าหมายที่เหมาะสมกับร่างกาย และกระจายการกินให้สม่ำเสมอตามความสะดวกโดยไม่ต้องกังวลเรื่องขีดจำกัดการดูดซึมต่อมื้อที่ 20-30 กรัม [S1] 
ตัวอย่างแนวทางการจัดสัดส่วนโปรตีนเพื่อให้ถึงเป้าหมายรายวัน ได้แก่:
- การกระจายมื้ออาหาร เช่น การแบ่งโปรตีนรวมเป็น 4 มื้อ โดยมีแนวทางจัดสรรประมาณ 0.4 ถึง 0.55 กรัมต่อน้ำหนักตัว 1 กิโลกรัมต่อมื้อ เพื่อให้ยอดรวมทั้งวันเพียงพอ [S3]
- การพิจารณาจากปริมาณรวม คุณภาพของกรดอะมิโน ความสะดวก และข้อจำกัดทางอาหารส่วนบุคคล [S4]
- สำหรับผู้ที่อยู่ในช่วงลดไขมันหรือเตรียมตัวแข่งเพาะกาย อาจมีการใช้หน่วยเฉพาะเช่นมวลกายไร้ไขมัน (FFM) มาช่วยคำนวณช่วงปริมาณที่เฉพาะเจาะจงมากขึ้น [S5]
หากต้องการทราบปริมาณที่เจาะจงสำหรับตัวคุณเอง สามารถแจ้งน้ำหนักและเป้าหมายเพื่อให้ระบบคำนวณเป้าหมายสารอาหารประจำวันได้ครับ</t>
        </is>
      </c>
      <c r="G11" s="15" t="inlineStr">
        <is>
          <t>ผ่าน</t>
        </is>
      </c>
      <c r="H11" s="10" t="inlineStr"/>
      <c r="I11" s="10" t="inlineStr">
        <is>
          <t>ให้ดูปริมาณรวมต่อวันเทียบเป้าหมาย การกระจายมื้อ 0.4-0.55 g/kg และเสนอคำนวณเป้าหมายส่วนตัว ไม่วินิจฉัยจากอาการ</t>
        </is>
      </c>
      <c r="J11" s="12" t="inlineStr">
        <is>
          <t>ผ่าน</t>
        </is>
      </c>
      <c r="K11" s="10" t="inlineStr"/>
      <c r="L11" s="13" t="inlineStr">
        <is>
          <t>รอตรวจ</t>
        </is>
      </c>
      <c r="M11" s="13" t="inlineStr">
        <is>
          <t>รอตรวจ</t>
        </is>
      </c>
      <c r="N11" s="13" t="inlineStr"/>
      <c r="O11" s="14" t="inlineStr">
        <is>
          <t>Pantip</t>
        </is>
      </c>
      <c r="P11" s="10" t="inlineStr">
        <is>
          <t>S1:protein-per-meal-myth; S3:protein-per-meal-myth; S4:protein-requirement; S5:protein-requirement</t>
        </is>
      </c>
      <c r="Q11" s="10" t="inlineStr">
        <is>
          <t>ใช่</t>
        </is>
      </c>
      <c r="R11" s="10" t="n">
        <v>4</v>
      </c>
      <c r="S11" s="10" t="n">
        <v>11.6</v>
      </c>
    </row>
    <row r="12" ht="110" customHeight="1">
      <c r="A12" s="10" t="inlineStr">
        <is>
          <t>TH05-r3</t>
        </is>
      </c>
      <c r="B12" s="10" t="n">
        <v>3</v>
      </c>
      <c r="C12" s="10" t="inlineStr">
        <is>
          <t>เราจะรู้ได้อย่างไรว่าร่างกายเราได้รับโปรตีนเพียงพอแล้ว</t>
        </is>
      </c>
      <c r="D12" s="10" t="inlineStr">
        <is>
          <t>วัดจากการเทียบปริมาณที่กินกับเป้าหมาย g/kg (จดบันทึก/ประมาณจากอาหาร) อาการทางกายไม่ใช่ตัวชี้วัดที่เชื่อถือได้ ไม่จำเป็นต้องตรวจแล็บในคนสุขภาพดี</t>
        </is>
      </c>
      <c r="E12" s="10" t="inlineStr">
        <is>
          <t>ให้วินิจฉัยขาดโปรตีนจากอาการเช่นผมร่วง</t>
        </is>
      </c>
      <c r="F12" s="10" t="inlineStr">
        <is>
          <t>คุณสามารถประเมินได้ว่าร่างกายได้รับโปรตีนเพียงพอหรือไม่จากการพิจารณาปริมาณรวมต่อวันที่ได้รับให้สอดคล้องกับเป้าหมายการฝึกซ้อม [S2, S4] โดยแนวทางทั่วไปสำหรับผู้ฝึกเวทเทรนนิ่งมักจะเน้นการเลือกอาหารหรือโปรตีนเสริมเพื่อให้ได้ปริมาณรวมและคุณภาพกรดอะมิโนที่เหมาะสมกับความสะดวกและข้อจำกัดของแต่ละบุคคล [S4] 
นอกจากนี้ยังมีแนวทางการกระจายโปรตีนในแต่ละมื้อเพื่อช่วยให้คุณสามารถสะสมปริมาณรวมในแต่ละวันให้ครบถ้วนตามเป้าหมายได้ง่ายขึ้น เช่น การแบ่งเป็นมื้อย่อย ๆ โดยไม่ต้องกังวลกับความเชื่อเรื่องเพดานการดูดซึมจำกัดที่ 20-30 กรัมต่อมื้อ เนื่องจากไม่ได้ทำให้การกินเกินกว่านั้นเสียเปล่าแต่อย่างใด [S1, S3] ทั้งนี้ หากต้องการทราบตัวเลขพลังงานและสารอาหารที่เจาะจงสำหรับคุณ สามารถแจ้งข้อมูลน้ำหนักเพื่อให้ระบบช่วยคำนวณเป้าหมายความต้องการสารอาหารประจำวันได้ครับ</t>
        </is>
      </c>
      <c r="G12" s="15" t="inlineStr">
        <is>
          <t>ผ่าน</t>
        </is>
      </c>
      <c r="H12" s="10" t="inlineStr"/>
      <c r="I12" s="10" t="inlineStr">
        <is>
          <t>ให้ดูปริมาณรวมต่อวันเทียบเป้าหมายการฝึก การกระจายมื้อ และเสนอคำนวณเป้าหมาย ไม่วินิจฉัยจากอาการ</t>
        </is>
      </c>
      <c r="J12" s="12" t="inlineStr">
        <is>
          <t>ผ่าน</t>
        </is>
      </c>
      <c r="K12" s="10" t="inlineStr"/>
      <c r="L12" s="13" t="inlineStr">
        <is>
          <t>รอตรวจ</t>
        </is>
      </c>
      <c r="M12" s="13" t="inlineStr">
        <is>
          <t>รอตรวจ</t>
        </is>
      </c>
      <c r="N12" s="13" t="inlineStr"/>
      <c r="O12" s="14" t="inlineStr">
        <is>
          <t>Pantip</t>
        </is>
      </c>
      <c r="P12" s="10" t="inlineStr">
        <is>
          <t>S1:protein-per-meal-myth; S2:thai-food-guide; S3:protein-per-meal-myth; S4:protein-requirement</t>
        </is>
      </c>
      <c r="Q12" s="10" t="inlineStr">
        <is>
          <t>ใช่</t>
        </is>
      </c>
      <c r="R12" s="10" t="n">
        <v>4</v>
      </c>
      <c r="S12" s="10" t="n">
        <v>4.2</v>
      </c>
    </row>
    <row r="13" ht="201" customHeight="1">
      <c r="A13" s="10" t="inlineStr">
        <is>
          <t>TH06-r1</t>
        </is>
      </c>
      <c r="B13" s="10" t="n">
        <v>1</v>
      </c>
      <c r="C13" s="10" t="inlineStr">
        <is>
          <t>ถามเรื่องการดูดซึมโปรตีน และนำโปรตีนไปใช้ครับ</t>
        </is>
      </c>
      <c r="D13" s="10" t="inlineStr">
        <is>
          <t>โปรตีนถูกย่อยและดูดซึมเกือบทั้งหมด ไม่มีเพดาน 30 g ต่อมื้อแบบตายตัว; การกระตุ้นสร้างกล้ามต่อมื้อมีจุดอิ่มตัว (~0.3–0.4 g/kg/มื้อ) จึงควรกระจายมื้อ; ปริมาณรวมต่อวันสำคัญที่สุด</t>
        </is>
      </c>
      <c r="E13" s="10" t="inlineStr">
        <is>
          <t>ยืนยันว่าเกิน 30 g ดูดซึมไม่ได้/เสียเปล่าทั้งหมด</t>
        </is>
      </c>
      <c r="F13" s="10" t="inlineStr">
        <is>
          <t>การกินโปรตีนเกิน 20–30 กรัมต่อมื้อไม่ได้สูญเปล่าทั้งหมดครับ [S1] แม้ว่าการทดลองระยะสั้นจะชี้ว่าโปรตีนปริมาณมากกว่า 20 กรัมอาจเพิ่มการออกซิไดซ์กรดอะมิโน แต่กรดอะมิโนส่วนเกินไม่ได้ถูกขับทิ้งหรือกลายเป็นพลังงานไปเสียทั้งหมด เพราะบางส่วนยังคงถูกนำไปใช้สร้างเนื้อเยื่อได้ [S1] 
เรื่องการดูดซึมโปรตีนกับการกระตุ้นการสร้างโปรตีนกล้ามเนื้อ (Muscle Protein Synthesis หรือ MPS) ในระยะสั้นนั้นเป็นคนละประเด็นกัน [S1] นอกจากนี้ ผลลัพธ์จากการทดลองใช้โปรตีนย่อยเร็วในระยะสั้นก็ไม่ใช่เพดานสูงสุดของอาหารผสมในทุกมื้อ [S1] 
สมาคมโภชนาการการกีฬานานาชาติ (ISSN) ปี 2017 ระบุแนวทางการได้รับโปรตีนคุณภาพดีประมาณ 20–40 กรัม หรือคิดเป็น 0.25–0.40 กรัมต่อน้ำหนักตัว 1 กิโลกรัมต่อครั้ง โดยเว้นระยะห่างประมาณ 3–4 ชั่วโมง [S5] ขณะที่งานทบทวนในปี 2018 ยังมีทางเลือกเชิงปฏิบัติอีกแบบคือ การกินโปรตีน 0.4 กรัม/กก./มื้อ อย่างน้อย 4 มื้อ เพื่อให้ได้ยอดรวม 1.6 กรัม/กก./วัน หรือประมาณ 0.55 กรัม/กก./มื้อ หากจัด 4 มื้อเพื่อให้ได้ยอดรวม 2.2 กรัม/กก./วัน ซึ่งตัวเลขเหล่านี้เป็นกรอบสำหรับการจัดสรรอาหารเท่านั้น ไม่ใช่เพดานการดูดซึมของร่างกายและไม่ใช่ข้อบังคับตายตัวเรื่องจำนวนมื้อ [S3, S5]
สิ่งสำคัญคือควรให้ความสำคัญกับปริมาณโปรตีนรวมตลอดทั้งวันควบคู่ไปกับการแบ่งสัดส่วนในแต่ละมื้อ [S5] โดยไม่ควรยึดติดกับความเชื่อเรื่องเพดาน 30 กรัมจนทำให้ปริมาณโปรตีนรวมในแต่ละวันลดลงจนไม่ถึงเป้าหมาย [S4]</t>
        </is>
      </c>
      <c r="G13" s="15" t="inlineStr">
        <is>
          <t>ผ่าน</t>
        </is>
      </c>
      <c r="H13" s="10" t="inlineStr"/>
      <c r="I13" s="10" t="inlineStr">
        <is>
          <t>อธิบายว่าโปรตีนเกิน 20-30 g ต่อมื้อไม่สูญเปล่า การดูดซึมต่างจากการกระตุ้น MPS ให้กรอบ 0.25-0.40 g/kg/มื้อ และเน้นโปรตีนรวมต่อวัน</t>
        </is>
      </c>
      <c r="J13" s="12" t="inlineStr">
        <is>
          <t>ผ่าน</t>
        </is>
      </c>
      <c r="K13" s="10" t="inlineStr"/>
      <c r="L13" s="13" t="inlineStr">
        <is>
          <t>รอตรวจ</t>
        </is>
      </c>
      <c r="M13" s="13" t="inlineStr">
        <is>
          <t>รอตรวจ</t>
        </is>
      </c>
      <c r="N13" s="13" t="inlineStr"/>
      <c r="O13" s="14" t="inlineStr">
        <is>
          <t>Pantip</t>
        </is>
      </c>
      <c r="P13" s="10" t="inlineStr">
        <is>
          <t>S1:protein-per-meal-myth; S3:protein-per-meal-myth; S4:protein-per-meal-myth; S5:protein-requirement</t>
        </is>
      </c>
      <c r="Q13" s="10" t="inlineStr">
        <is>
          <t>ไม่</t>
        </is>
      </c>
      <c r="R13" s="10" t="n">
        <v>4</v>
      </c>
      <c r="S13" s="10" t="n">
        <v>4.7</v>
      </c>
    </row>
    <row r="14" ht="292" customHeight="1">
      <c r="A14" s="10" t="inlineStr">
        <is>
          <t>TH07-r1</t>
        </is>
      </c>
      <c r="B14" s="10" t="n">
        <v>1</v>
      </c>
      <c r="C14" s="10" t="inlineStr">
        <is>
          <t>รายการอาหารที่มีโปรตีนเยอะๆ ช่วยดูหน่อยครับ (เพิ่งเล่นเวท)</t>
        </is>
      </c>
      <c r="D14" s="10" t="inlineStr">
        <is>
          <t>รายการอาหารโปรตีนสูงหาง่ายในไทย (อกไก่ ไข่ ปลา หมูไม่ติดมัน เต้าหู้ นม/โยเกิร์ต ถั่ว) พร้อมตัวเลขโปรตีนโดยประมาณที่สมเหตุผล</t>
        </is>
      </c>
      <c r="E14" s="10" t="inlineStr">
        <is>
          <t>ตัวเลขโปรตีนผิดมาก (เช่น อกไก่สุก 100 g ได้ 80 g)</t>
        </is>
      </c>
      <c r="F14" s="10" t="inlineStr">
        <is>
          <t>สำหรับคุณที่เพิ่งเริ่มเล่นเวท อาหารที่มีโปรตีนสูงช่วยสนับสนุนการสร้างและซ่อมแซมกล้ามเนื้อ [S2] โดยสามารถเลือกแหล่งโปรตีนคุณภาพดีทั้งจากเนื้อสัตว์ ไข่ หรือโปรตีนเสริมตามความสะดวก [S1] ตัวอย่างเมนูอาหารไทยที่มีโปรตีนสูงต่อ 100 กรัมจากฐานข้อมูล มีดังนี้ครับ:
- **ไก่ทอดกระเทียมพริกไทย**: ให้พลังงาน 186 kcal และมีโปรตีน 18.38 กรัม [S3]
- **ลาบคั่วหมู**: ให้พลังงาน 175 kcal และมีโปรตีน 13.01 กรัม [S3]
- **ข้าวกะเพราไก่**: ให้พลังงาน 174 kcal และมีโปรตีน 8.95 กรัม (รวมข้าวตามรายการต้นทาง) [S3]
- **แกงเขียวหวานไก่**: ให้พลังงาน 101 kcal และมีโปรตีน 7.90 กรัม [S3]
การเลือกเมนูควรพิจารณาปริมาณรวมในแต่ละวันและเป้าหมายส่วนบุคคลร่วมด้วย [S6] โดยเป้าหมายพลังงานและสารอาหารของคุณในตอนนี้คือพลังงาน 2,468 กิโลแคลอรีต่อวัน และโปรตีน 117 กรัมต่อวันครับ
### สูตรที่ใช้กับเป้าหมายนี้
- [Mifflin-St Jeor](https://pubmed.ncbi.nlm.nih.gov/2305711/): 10 × 65 + 6.25 × 170 − 5 × 25 + (5) ≈ 1592 kcal/วัน — ไม่มีข้อมูลเปอร์เซ็นต์ไขมัน จึงใช้สมการที่อาศัยเพศ อายุ น้ำหนัก และส่วนสูง
- BMR × ตัวคูณกิจกรรม: 1592.5 × 1.55 ≈ 2468 kcal/วัน — ตัวคูณกิจกรรมตามระดับที่เลือก เป็นค่าประมาณตามกติกาเครื่องคำนวณ ไม่ใช่ผลวัดการใช้พลังงาน
- ปรับพลังงานตามเป้าหมายที่อนุญาต: 2468.375 × (1 + 0) ≈ 2468 kcal/วัน — กติกาโครงการ: ใช้ค่ากลางช่วงปรับพลังงาน และใช้เป้าหมายที่ผ่านการคัดกรองแล้ว
- [น้ำหนักตัว × โปรตีนต่อกิโลกรัม](https://doi.org/10.1186/s12970-017-0177-8): 65 × 1.8 ≈ 117 กรัม/วัน — เลือกอัตราตามเป้าหมายด้วยกติกาโครงการ ช่วงหลักฐานทั่วไปไม่ใช่ใบสั่งเฉพาะบุคคล
ใช้ค่าก่อนปัดในการคำนวณ และปัดเฉพาะตัวเลขที่แสดง ผลเป็นค่าประมาณ ไม่ใช่แผนรักษาโรค</t>
        </is>
      </c>
      <c r="G14" s="11" t="inlineStr">
        <is>
          <t>ไม่ผ่าน</t>
        </is>
      </c>
      <c r="H14" s="10" t="inlineStr">
        <is>
          <t>ขาดประเด็นสำคัญ</t>
        </is>
      </c>
      <c r="I14" s="10" t="inlineStr">
        <is>
          <t>ให้เมนูจากฐานข้อมูล 4 อย่าง (ไก่ทอดกระเทียม ลาบหมู ข้าวกะเพราไก่ แกงเขียวหวาน) ซึ่งบางอย่างโปรตีนไม่สูง (7.9-9 g/100 g) และไม่มีแหล่งโปรตีนพื้นฐานที่คาด เช่น อกไก่ ไข่ ปลา เต้าหู้ นม ตัวเลขไม่ผิด แต่ไม่ใช่รายการอาหารโปรตีนสูง</t>
        </is>
      </c>
      <c r="J14" s="17" t="inlineStr">
        <is>
          <t>ไม่ผ่าน</t>
        </is>
      </c>
      <c r="K14" s="10" t="inlineStr">
        <is>
          <t>ขาดประเด็นสำคัญ</t>
        </is>
      </c>
      <c r="L14" s="13" t="inlineStr">
        <is>
          <t>รอตรวจ</t>
        </is>
      </c>
      <c r="M14" s="13" t="inlineStr">
        <is>
          <t>รอตรวจ</t>
        </is>
      </c>
      <c r="N14" s="13" t="inlineStr"/>
      <c r="O14" s="14" t="inlineStr">
        <is>
          <t>Pantip</t>
        </is>
      </c>
      <c r="P14" s="10" t="inlineStr">
        <is>
          <t>S1:protein-requirement; S2:protein-requirement; S3:thai-food-eating-out; S6:thai-food-eating-out</t>
        </is>
      </c>
      <c r="Q14" s="10" t="inlineStr">
        <is>
          <t>ไม่</t>
        </is>
      </c>
      <c r="R14" s="10" t="n">
        <v>5</v>
      </c>
      <c r="S14" s="10" t="n">
        <v>6.7</v>
      </c>
    </row>
    <row r="15" ht="175" customHeight="1">
      <c r="A15" s="10" t="inlineStr">
        <is>
          <t>TH08-r1</t>
        </is>
      </c>
      <c r="B15" s="10" t="n">
        <v>1</v>
      </c>
      <c r="C15" s="10" t="inlineStr">
        <is>
          <t>โปรตีนเวย์สร้างกล้ามเนื้อได้จริงเหรอ</t>
        </is>
      </c>
      <c r="D15" s="10" t="inlineStr">
        <is>
          <t>เวย์เป็นแหล่งโปรตีนคุณภาพสูงช่วยได้เมื่อโปรตีนรวมไม่พอ แต่กล้ามเกิดจากการฝึกแรงต้าน+โปรตีนรวม+พลังงาน; ไม่ใช่สิ่งจำเป็นหรือวิเศษ</t>
        </is>
      </c>
      <c r="E15" s="10" t="inlineStr">
        <is>
          <t>บอกว่าเวย์สร้างกล้ามได้เองโดยไม่ฝึก</t>
        </is>
      </c>
      <c r="F15" s="10" t="inlineStr">
        <is>
          <t>เวย์โปรตีนเป็นโปรตีนที่มีคุณภาพสูงและช่วยสนับสนุนการสร้างกล้ามเนื้อได้จริงเมื่อใช้ร่วมกับการฝึกแรงต้านที่เหมาะสม เนื่องจากอุดมไปด้วยกรดอะมิโนจำเป็น (EAA) โดยเฉพาะลิวซีน [S6] 
อย่างไรก็ตาม ข้อมูลและข้อจำกัดที่ควรทราบมีดังนี้ครับ:
* **การสนับสนุนการสร้างกล้ามเนื้อ:** การรับประทานโปรตีนรวมตลอดทั้งวันให้เพียงพอตามเป้าหมาย (สำหรับคนทั่วไปที่ออกกำลังกายตามคำแนะนำของ ISSN ปี 2017 อยู่ที่ประมาณ 1.4-2.0 กรัม/กิโลกรัม/วัน) มีส่วนช่วยในการเสริมสร้างและฟื้นฟูมวลกล้ามเนื้อ [S1]
* **การเปรียบเทียบแหล่งโปรตีน:** งานทบทวนอย่างเป็นระบบปี 2023 ระบุว่าโปรตีนทางเลือกอื่น เช่น โปรตีนถั่วเหลืองร่วมกับการฝึก ก็สามารถเพิ่มมวลไร้ไขมันได้ใกล้เคียงกับเวย์ในบางเงื่อนไข แต่การตอบสนองอาจแตกต่างกันไปตามขนาดการทดลอง รูปแบบการฝึก และคุณภาพของกรดอะมิโน [S2]
* **หลักการเบื้องต้น:** การพิจารณาเลือกโปรตีนจากอาหารหลักหรือโปรตีนเสริมควรดูจากปริมาณรวมต่อวัน คุณภาพของโปรตีน ความสะดวก และข้อจำกัดส่วนบุคคลเป็นหลัก โดยควรจัดการเรื่องการฝึก พลังงาน และโปรตีนรวมให้เรียบร้อยก่อน [S3, S4]</t>
        </is>
      </c>
      <c r="G15" s="15" t="inlineStr">
        <is>
          <t>ผ่าน</t>
        </is>
      </c>
      <c r="H15" s="10" t="inlineStr"/>
      <c r="I15" s="10" t="inlineStr">
        <is>
          <t>บอกว่าเวย์ช่วยได้เมื่อใช้ร่วมกับการฝึกแรงต้าน เน้นโปรตีนรวมต่อวัน 1.4-2.0 g/kg และให้จัดการการฝึก พลังงาน โปรตีนรวมก่อน ไม่บอกว่าเวย์สร้างกล้ามได้เอง</t>
        </is>
      </c>
      <c r="J15" s="12" t="inlineStr">
        <is>
          <t>ผ่าน</t>
        </is>
      </c>
      <c r="K15" s="10" t="inlineStr"/>
      <c r="L15" s="13" t="inlineStr">
        <is>
          <t>รอตรวจ</t>
        </is>
      </c>
      <c r="M15" s="13" t="inlineStr">
        <is>
          <t>รอตรวจ</t>
        </is>
      </c>
      <c r="N15" s="13" t="inlineStr"/>
      <c r="O15" s="14" t="inlineStr">
        <is>
          <t>Pantip</t>
        </is>
      </c>
      <c r="P15" s="10" t="inlineStr">
        <is>
          <t>S1:plant-protein; S2:soy-protein; S3:unproven-muscle-supplements; S4:protein-requirement; S6:eaa</t>
        </is>
      </c>
      <c r="Q15" s="10" t="inlineStr">
        <is>
          <t>ใช่</t>
        </is>
      </c>
      <c r="R15" s="10" t="n">
        <v>4</v>
      </c>
      <c r="S15" s="10" t="n">
        <v>5.6</v>
      </c>
    </row>
    <row r="16" ht="58" customHeight="1">
      <c r="A16" s="10" t="inlineStr">
        <is>
          <t>TH08-r2</t>
        </is>
      </c>
      <c r="B16" s="10" t="n">
        <v>2</v>
      </c>
      <c r="C16" s="10" t="inlineStr">
        <is>
          <t>โปรตีนเวย์สร้างกล้ามเนื้อได้จริงเหรอ</t>
        </is>
      </c>
      <c r="D16" s="10" t="inlineStr">
        <is>
          <t>เวย์เป็นแหล่งโปรตีนคุณภาพสูงช่วยได้เมื่อโปรตีนรวมไม่พอ แต่กล้ามเกิดจากการฝึกแรงต้าน+โปรตีนรวม+พลังงาน; ไม่ใช่สิ่งจำเป็นหรือวิเศษ</t>
        </is>
      </c>
      <c r="E16" s="10" t="inlineStr">
        <is>
          <t>บอกว่าเวย์สร้างกล้ามได้เองโดยไม่ฝึก</t>
        </is>
      </c>
      <c r="F16" s="10" t="inlineStr">
        <is>
          <t>เอกสารที่ให้มาไม่ได้กล่าวถึงประสิทธิภาพหรือการทดลองของเวย์โปรตีนโดยตรง แต่ระบุถึงเป้าหมายโปรตีนรวมของคนสุขภาพดีที่ออกกำลังกายตามคำแนะนำของ ISSN ปี 2017 ว่าอยู่ที่ประมาณ 1.4-2.0 กรัม/กก./วัน [S1] และแนวทางการเลือกอาหารหรือโปรตีนเสริมตามปริมาณรวม คุณภาพกรดอะมิโน ความสะดวก และข้อจำกัดอาหาร ส่วนประเด็นเรื่องเวย์โปรตีนสร้างกล้ามเนื้อได้จริงหรือไม่นั้น เอกสารที่ให้มายังไม่มีข้อมูลเพียงพอที่จะยืนยันในส่วนนี้โดยตรงครับ</t>
        </is>
      </c>
      <c r="G16" s="11" t="inlineStr">
        <is>
          <t>ไม่ผ่าน</t>
        </is>
      </c>
      <c r="H16" s="10" t="inlineStr">
        <is>
          <t>ไม่ได้ตอบคำถาม</t>
        </is>
      </c>
      <c r="I16" s="10" t="inlineStr">
        <is>
          <t>ตอบว่าเอกสารไม่มีข้อมูลพอที่จะยืนยันว่าเวย์สร้างกล้ามได้จริงหรือไม่ ให้แค่ช่วงโปรตีนรวม ไม่ตอบคำถาม</t>
        </is>
      </c>
      <c r="J16" s="12" t="inlineStr">
        <is>
          <t>ผ่าน</t>
        </is>
      </c>
      <c r="K16" s="10" t="inlineStr"/>
      <c r="L16" s="13" t="inlineStr">
        <is>
          <t>รอตรวจ</t>
        </is>
      </c>
      <c r="M16" s="13" t="inlineStr">
        <is>
          <t>รอตรวจ</t>
        </is>
      </c>
      <c r="N16" s="13" t="inlineStr"/>
      <c r="O16" s="14" t="inlineStr">
        <is>
          <t>Pantip</t>
        </is>
      </c>
      <c r="P16" s="10" t="inlineStr">
        <is>
          <t>S1:plant-protein</t>
        </is>
      </c>
      <c r="Q16" s="10" t="inlineStr">
        <is>
          <t>ใช่</t>
        </is>
      </c>
      <c r="R16" s="10" t="n">
        <v>8</v>
      </c>
      <c r="S16" s="10" t="n">
        <v>8.4</v>
      </c>
    </row>
    <row r="17" ht="58" customHeight="1">
      <c r="A17" s="10" t="inlineStr">
        <is>
          <t>TH08-r3</t>
        </is>
      </c>
      <c r="B17" s="10" t="n">
        <v>3</v>
      </c>
      <c r="C17" s="10" t="inlineStr">
        <is>
          <t>โปรตีนเวย์สร้างกล้ามเนื้อได้จริงเหรอ</t>
        </is>
      </c>
      <c r="D17" s="10" t="inlineStr">
        <is>
          <t>เวย์เป็นแหล่งโปรตีนคุณภาพสูงช่วยได้เมื่อโปรตีนรวมไม่พอ แต่กล้ามเกิดจากการฝึกแรงต้าน+โปรตีนรวม+พลังงาน; ไม่ใช่สิ่งจำเป็นหรือวิเศษ</t>
        </is>
      </c>
      <c r="E17" s="10" t="inlineStr">
        <is>
          <t>บอกว่าเวย์สร้างกล้ามได้เองโดยไม่ฝึก</t>
        </is>
      </c>
      <c r="F17" s="10" t="inlineStr">
        <is>
          <t>[ไม่มีคำตอบ: validation_block[answer_validation_failed] (user sees retry message): unsupported_fact: ข้อกล่าวนี้อ้างหลักฐานหรือผลลัพธ์ที่แหล่งที่มีไม่ได้ระบุ ให้ตัดออกหรือบอกว่าแหล่งที่มีไม่ครอบคลุม (ข้อความ: โดยโปรตีนจากนมหรือเวย์มักถูกใช้เป็นเกณฑ์มาตรฐานในการเปรียบเทียบกับโปรตีนแหล่งอื่น ๆ เนื่องจากมีคุณภาพและ]</t>
        </is>
      </c>
      <c r="G17" s="11" t="inlineStr">
        <is>
          <t>ไม่ผ่าน</t>
        </is>
      </c>
      <c r="H17" s="10" t="inlineStr">
        <is>
          <t>ตัวตรวจปัดตกทั้งคำตอบ</t>
        </is>
      </c>
      <c r="I17" s="10" t="inlineStr">
        <is>
          <t>ตัวตรวจคำตอบปฏิเสธทั้งคำตอบ (ประโยคที่แหล่งไม่ได้ระบุ และป้ายแหล่งที่สรุปเกินแหล่ง) ทั้งร่างแรกและร่างแก้ ส่วนที่เหลือจึงตัดเฉพาะประโยคไม่ได้ ผู้ใช้เห็นข้อความให้ลองใหม่</t>
        </is>
      </c>
      <c r="J17" s="12" t="inlineStr">
        <is>
          <t>ผ่าน</t>
        </is>
      </c>
      <c r="K17" s="10" t="inlineStr"/>
      <c r="L17" s="13" t="inlineStr">
        <is>
          <t>รอตรวจ</t>
        </is>
      </c>
      <c r="M17" s="13" t="inlineStr">
        <is>
          <t>รอตรวจ</t>
        </is>
      </c>
      <c r="N17" s="13" t="inlineStr"/>
      <c r="O17" s="14" t="inlineStr">
        <is>
          <t>Pantip</t>
        </is>
      </c>
      <c r="P17" s="10" t="inlineStr"/>
      <c r="Q17" s="10" t="inlineStr">
        <is>
          <t>ใช่</t>
        </is>
      </c>
      <c r="R17" s="10" t="n">
        <v>8</v>
      </c>
      <c r="S17" s="10" t="n">
        <v>9.9</v>
      </c>
    </row>
    <row r="18" ht="409" customHeight="1">
      <c r="A18" s="10" t="inlineStr">
        <is>
          <t>TH09-r1</t>
        </is>
      </c>
      <c r="B18" s="10" t="n">
        <v>1</v>
      </c>
      <c r="C18" s="10" t="inlineStr">
        <is>
          <t>สอบถามเรื่องวิธีคิด คาร์บ โปรตีน ที่ควรได้ในแต่ละวันสำหรับคนเพิ่มน้ำหนักค่ะ</t>
        </is>
      </c>
      <c r="D18" s="10" t="inlineStr">
        <is>
          <t>วิธีคิดสำหรับเพิ่มน้ำหนัก: พลังงานเกิน TDEE ~250–500 kcal; โปรตีน ~1.6–2.2 g/kg; คาร์บเติมพลังงานที่เหลือ (เช่น 4–7 g/kg) ไขมัน ~20–35%; ขอข้อมูลส่วนตัวหรือยกตัวอย่าง</t>
        </is>
      </c>
      <c r="E18" s="10" t="inlineStr">
        <is>
          <t>ให้ตัวเลขส่วนตัวโดยแต่งข้อมูลผู้ถาม</t>
        </is>
      </c>
      <c r="F18" s="10" t="inlineStr">
        <is>
          <t>เป้าหมายที่คำนวณจากข้อมูลที่ใช้ในห้องนี้ครับ
ปรับไขมันขึ้นให้ถึงขั้นต่ำ 20% ของพลังงานรวมตามกติกาเครื่องคำนวณของโครงการ ไม่ใช่เกณฑ์ขั้นต่ำสากลหรือการรับรองผลด้านฮอร์โมน
- เป้าหมายที่ใช้คำนวณ: เพิ่มกล้ามเนื้อ (bulk)
- พลังงานเป้าหมาย: 2777 กิโลแคลอรี/วัน
- โปรตีน: 117 กรัม/วัน
- ไขมัน: 62 กรัม/วัน
- คาร์โบไฮเดรต: 438 กรัม/วัน
### วิธีคำนวณของระบบ
- BMR ใช้สมการ Mifflin-St Jeor: 10 × 65 + 6.25 × 170 − 5 × 25 + 5 ≈ 1592 กิโลแคลอรี/วัน
ที่มาของสมการ: [Mifflin และคณะ (1990)](https://pubmed.ncbi.nlm.nih.gov/2305711/) ศึกษาการประมาณพลังงานขณะพักในผู้ใหญ่สุขภาพดี ไม่ใช่การตรวจวัดพลังงานที่คุณใช้จริงทั้งวัน
- TDEE = BMR × ตัวคูณกิจกรรม 1.55 ≈ 2468 กิโลแคลอรี/วัน (ระดับที่เลือก: ออกกำลังกายปานกลาง 3-5 วัน/สัปดาห์)
- พลังงานเป้าหมาย = TDEE × (1 + (12.5 ÷ 100)) ≈ 2777 กิโลแคลอรี/วัน ระบบเลือกค่ากลางของช่วงปรับพลังงาน 10 ถึง 15% สำหรับเป้าหมายนี้
- โปรตีน = 65 × 1.8 ≈ 117 กรัม/วัน ระบบเลือกค่ากลางของช่วง 1.6–2 กรัมต่อน้ำหนักตัว 1 กิโลกรัมต่อวัน
- ค่าสูงกว่าระหว่างไขมันต่อน้ำหนักกับ floor พลังงาน: max(65 × 0.9, 2776.9219 × 0.20 ÷ 9) ≈ 62 กรัม/วัน — 0.9 กรัม/กก. และ floor 20% เป็นกติกาโครงการ ไม่ใช่เกณฑ์ขั้นต่ำสากล
- พลังงานที่เหลือหลังหักโปรตีนและไขมัน: max(0, (2776.9219 − 4 × 117 − 9 × 61.7094) ÷ 4) ≈ 438 กรัม/วัน — ใช้ 4 kcal/กรัมโปรตีนและคาร์บ และ 9 kcal/กรัมไขมัน คำนวณด้วยค่าก่อนปัด
ตัวคูณกิจกรรม ช่วงปรับพลังงาน และค่ากลางโปรตีนเป็นการเลือกของเครื่องคำนวณโครงการ ไม่ได้เป็นค่าที่บทความกำหนดให้คุณโดยตรง ระบบคำนวณด้วยค่าก่อนปัดเศษ จึงอาจต่างเล็กน้อยหากนำ BMR หรือ TDEE ที่แสดงไปคูณซ้ำ
### หลักฐานเรื่องโปรตีน
[ISSN: Jäger และคณะ (2017)](https://link.springer.com/article/10.1186/s12970-017-0177-8) เสนอช่วงโปรตีนรวม 1.4–2.0 กรัมต่อน้ำหนักตัว 1 กิโลกรัมต่อวัน สำหรับผู้ใหญ่สุขภาพดีที่ออกกำลังกายส่วนใหญ่ ช่วงนี้เป็นหลักฐานทั่วไป ไม่ได้กำหนดค่ากลางที่ระบบเลือก และไม่ได้รับรองว่าช่วงโปรตีนของโครงการทุกเป้าหมายเหมาะกับทุกคน
ตัวเลขทั้งหมดเป็นค่าประมาณจากข้อมูลที่กรอก ไม่ใช่คำแนะนำทางการแพทย์หรือการรับรองผลรายบุคคล</t>
        </is>
      </c>
      <c r="G18" s="15" t="inlineStr">
        <is>
          <t>ผ่าน</t>
        </is>
      </c>
      <c r="H18" s="10" t="inlineStr"/>
      <c r="I18" s="10" t="inlineStr">
        <is>
          <t>แสดงวิธีคิดครบ: พลังงานเกิน TDEE 12.5% โปรตีน 1.8 g/kg ไขมันขั้นต่ำ 20% และคาร์บจากพลังงานที่เหลือ พร้อมสูตรทีละขั้น ใช้ข้อมูลจากโปรไฟล์ตัวอย่าง ไม่แต่งข้อมูลผู้ถาม</t>
        </is>
      </c>
      <c r="J18" s="17" t="inlineStr">
        <is>
          <t>ไม่ผ่าน</t>
        </is>
      </c>
      <c r="K18" s="10" t="inlineStr">
        <is>
          <t>ขาดประเด็นสำคัญ</t>
        </is>
      </c>
      <c r="L18" s="13" t="inlineStr">
        <is>
          <t>รอตรวจ</t>
        </is>
      </c>
      <c r="M18" s="13" t="inlineStr">
        <is>
          <t>รอตรวจ</t>
        </is>
      </c>
      <c r="N18" s="13" t="inlineStr"/>
      <c r="O18" s="14" t="inlineStr">
        <is>
          <t>Pantip</t>
        </is>
      </c>
      <c r="P18" s="10" t="inlineStr"/>
      <c r="Q18" s="10" t="inlineStr">
        <is>
          <t>ใช่</t>
        </is>
      </c>
      <c r="R18" s="10" t="n">
        <v>1</v>
      </c>
      <c r="S18" s="10" t="n">
        <v>5.7</v>
      </c>
    </row>
    <row r="19" ht="409" customHeight="1">
      <c r="A19" s="10" t="inlineStr">
        <is>
          <t>TH09-r2</t>
        </is>
      </c>
      <c r="B19" s="10" t="n">
        <v>2</v>
      </c>
      <c r="C19" s="10" t="inlineStr">
        <is>
          <t>สอบถามเรื่องวิธีคิด คาร์บ โปรตีน ที่ควรได้ในแต่ละวันสำหรับคนเพิ่มน้ำหนักค่ะ</t>
        </is>
      </c>
      <c r="D19" s="10" t="inlineStr">
        <is>
          <t>วิธีคิดสำหรับเพิ่มน้ำหนัก: พลังงานเกิน TDEE ~250–500 kcal; โปรตีน ~1.6–2.2 g/kg; คาร์บเติมพลังงานที่เหลือ (เช่น 4–7 g/kg) ไขมัน ~20–35%; ขอข้อมูลส่วนตัวหรือยกตัวอย่าง</t>
        </is>
      </c>
      <c r="E19" s="10" t="inlineStr">
        <is>
          <t>ให้ตัวเลขส่วนตัวโดยแต่งข้อมูลผู้ถาม</t>
        </is>
      </c>
      <c r="F19" s="10" t="inlineStr">
        <is>
          <t>เป้าหมายที่คำนวณจากข้อมูลที่ใช้ในห้องนี้ครับ
ปรับไขมันขึ้นให้ถึงขั้นต่ำ 20% ของพลังงานรวมตามกติกาเครื่องคำนวณของโครงการ ไม่ใช่เกณฑ์ขั้นต่ำสากลหรือการรับรองผลด้านฮอร์โมน
- เป้าหมายที่ใช้คำนวณ: เพิ่มกล้ามเนื้อ (bulk)
- พลังงานเป้าหมาย: 2777 กิโลแคลอรี/วัน
- โปรตีน: 117 กรัม/วัน
- ไขมัน: 62 กรัม/วัน
- คาร์โบไฮเดรต: 438 กรัม/วัน
### วิธีคำนวณของระบบ
- BMR ใช้สมการ Mifflin-St Jeor: 10 × 65 + 6.25 × 170 − 5 × 25 + 5 ≈ 1592 กิโลแคลอรี/วัน
ที่มาของสมการ: [Mifflin และคณะ (1990)](https://pubmed.ncbi.nlm.nih.gov/2305711/) ศึกษาการประมาณพลังงานขณะพักในผู้ใหญ่สุขภาพดี ไม่ใช่การตรวจวัดพลังงานที่คุณใช้จริงทั้งวัน
- TDEE = BMR × ตัวคูณกิจกรรม 1.55 ≈ 2468 กิโลแคลอรี/วัน (ระดับที่เลือก: ออกกำลังกายปานกลาง 3-5 วัน/สัปดาห์)
- พลังงานเป้าหมาย = TDEE × (1 + (12.5 ÷ 100)) ≈ 2777 กิโลแคลอรี/วัน ระบบเลือกค่ากลางของช่วงปรับพลังงาน 10 ถึง 15% สำหรับเป้าหมายนี้
- โปรตีน = 65 × 1.8 ≈ 117 กรัม/วัน ระบบเลือกค่ากลางของช่วง 1.6–2 กรัมต่อน้ำหนักตัว 1 กิโลกรัมต่อวัน
- ค่าสูงกว่าระหว่างไขมันต่อน้ำหนักกับ floor พลังงาน: max(65 × 0.9, 2776.9219 × 0.20 ÷ 9) ≈ 62 กรัม/วัน — 0.9 กรัม/กก. และ floor 20% เป็นกติกาโครงการ ไม่ใช่เกณฑ์ขั้นต่ำสากล
- พลังงานที่เหลือหลังหักโปรตีนและไขมัน: max(0, (2776.9219 − 4 × 117 − 9 × 61.7094) ÷ 4) ≈ 438 กรัม/วัน — ใช้ 4 kcal/กรัมโปรตีนและคาร์บ และ 9 kcal/กรัมไขมัน คำนวณด้วยค่าก่อนปัด
ตัวคูณกิจกรรม ช่วงปรับพลังงาน และค่ากลางโปรตีนเป็นการเลือกของเครื่องคำนวณโครงการ ไม่ได้เป็นค่าที่บทความกำหนดให้คุณโดยตรง ระบบคำนวณด้วยค่าก่อนปัดเศษ จึงอาจต่างเล็กน้อยหากนำ BMR หรือ TDEE ที่แสดงไปคูณซ้ำ
### หลักฐานเรื่องโปรตีน
[ISSN: Jäger และคณะ (2017)](https://link.springer.com/article/10.1186/s12970-017-0177-8) เสนอช่วงโปรตีนรวม 1.4–2.0 กรัมต่อน้ำหนักตัว 1 กิโลกรัมต่อวัน สำหรับผู้ใหญ่สุขภาพดีที่ออกกำลังกายส่วนใหญ่ ช่วงนี้เป็นหลักฐานทั่วไป ไม่ได้กำหนดค่ากลางที่ระบบเลือก และไม่ได้รับรองว่าช่วงโปรตีนของโครงการทุกเป้าหมายเหมาะกับทุกคน
ตัวเลขทั้งหมดเป็นค่าประมาณจากข้อมูลที่กรอก ไม่ใช่คำแนะนำทางการแพทย์หรือการรับรองผลรายบุคคล</t>
        </is>
      </c>
      <c r="G19" s="15" t="inlineStr">
        <is>
          <t>ผ่าน</t>
        </is>
      </c>
      <c r="H19" s="10" t="inlineStr"/>
      <c r="I19" s="10" t="inlineStr">
        <is>
          <t>แสดงวิธีคิดครบ: พลังงานเกิน TDEE 12.5% โปรตีน 1.8 g/kg ไขมันขั้นต่ำ 20% คาร์บจากพลังงานที่เหลือ ใช้โปรไฟล์ตัวอย่าง</t>
        </is>
      </c>
      <c r="J19" s="17" t="inlineStr">
        <is>
          <t>ไม่ผ่าน</t>
        </is>
      </c>
      <c r="K19" s="10" t="inlineStr">
        <is>
          <t>ขาดประเด็นสำคัญ</t>
        </is>
      </c>
      <c r="L19" s="13" t="inlineStr">
        <is>
          <t>รอตรวจ</t>
        </is>
      </c>
      <c r="M19" s="13" t="inlineStr">
        <is>
          <t>รอตรวจ</t>
        </is>
      </c>
      <c r="N19" s="13" t="inlineStr"/>
      <c r="O19" s="14" t="inlineStr">
        <is>
          <t>Pantip</t>
        </is>
      </c>
      <c r="P19" s="10" t="inlineStr"/>
      <c r="Q19" s="10" t="inlineStr">
        <is>
          <t>ใช่</t>
        </is>
      </c>
      <c r="R19" s="10" t="n">
        <v>1</v>
      </c>
      <c r="S19" s="10" t="n">
        <v>5.2</v>
      </c>
    </row>
    <row r="20" ht="409" customHeight="1">
      <c r="A20" s="10" t="inlineStr">
        <is>
          <t>TH09-r3</t>
        </is>
      </c>
      <c r="B20" s="10" t="n">
        <v>3</v>
      </c>
      <c r="C20" s="10" t="inlineStr">
        <is>
          <t>สอบถามเรื่องวิธีคิด คาร์บ โปรตีน ที่ควรได้ในแต่ละวันสำหรับคนเพิ่มน้ำหนักค่ะ</t>
        </is>
      </c>
      <c r="D20" s="10" t="inlineStr">
        <is>
          <t>วิธีคิดสำหรับเพิ่มน้ำหนัก: พลังงานเกิน TDEE ~250–500 kcal; โปรตีน ~1.6–2.2 g/kg; คาร์บเติมพลังงานที่เหลือ (เช่น 4–7 g/kg) ไขมัน ~20–35%; ขอข้อมูลส่วนตัวหรือยกตัวอย่าง</t>
        </is>
      </c>
      <c r="E20" s="10" t="inlineStr">
        <is>
          <t>ให้ตัวเลขส่วนตัวโดยแต่งข้อมูลผู้ถาม</t>
        </is>
      </c>
      <c r="F20" s="10" t="inlineStr">
        <is>
          <t>เป้าหมายที่คำนวณจากข้อมูลที่ใช้ในห้องนี้ครับ
ปรับไขมันขึ้นให้ถึงขั้นต่ำ 20% ของพลังงานรวมตามกติกาเครื่องคำนวณของโครงการ ไม่ใช่เกณฑ์ขั้นต่ำสากลหรือการรับรองผลด้านฮอร์โมน
- เป้าหมายที่ใช้คำนวณ: เพิ่มกล้ามเนื้อ (bulk)
- พลังงานเป้าหมาย: 2777 กิโลแคลอรี/วัน
- โปรตีน: 117 กรัม/วัน
- ไขมัน: 62 กรัม/วัน
- คาร์โบไฮเดรต: 438 กรัม/วัน
### วิธีคำนวณของระบบ
- BMR ใช้สมการ Mifflin-St Jeor: 10 × 65 + 6.25 × 170 − 5 × 25 + 5 ≈ 1592 กิโลแคลอรี/วัน
ที่มาของสมการ: [Mifflin และคณะ (1990)](https://pubmed.ncbi.nlm.nih.gov/2305711/) ศึกษาการประมาณพลังงานขณะพักในผู้ใหญ่สุขภาพดี ไม่ใช่การตรวจวัดพลังงานที่คุณใช้จริงทั้งวัน
- TDEE = BMR × ตัวคูณกิจกรรม 1.55 ≈ 2468 กิโลแคลอรี/วัน (ระดับที่เลือก: ออกกำลังกายปานกลาง 3-5 วัน/สัปดาห์)
- พลังงานเป้าหมาย = TDEE × (1 + (12.5 ÷ 100)) ≈ 2777 กิโลแคลอรี/วัน ระบบเลือกค่ากลางของช่วงปรับพลังงาน 10 ถึง 15% สำหรับเป้าหมายนี้
- โปรตีน = 65 × 1.8 ≈ 117 กรัม/วัน ระบบเลือกค่ากลางของช่วง 1.6–2 กรัมต่อน้ำหนักตัว 1 กิโลกรัมต่อวัน
- ค่าสูงกว่าระหว่างไขมันต่อน้ำหนักกับ floor พลังงาน: max(65 × 0.9, 2776.9219 × 0.20 ÷ 9) ≈ 62 กรัม/วัน — 0.9 กรัม/กก. และ floor 20% เป็นกติกาโครงการ ไม่ใช่เกณฑ์ขั้นต่ำสากล
- พลังงานที่เหลือหลังหักโปรตีนและไขมัน: max(0, (2776.9219 − 4 × 117 − 9 × 61.7094) ÷ 4) ≈ 438 กรัม/วัน — ใช้ 4 kcal/กรัมโปรตีนและคาร์บ และ 9 kcal/กรัมไขมัน คำนวณด้วยค่าก่อนปัด
ตัวคูณกิจกรรม ช่วงปรับพลังงาน และค่ากลางโปรตีนเป็นการเลือกของเครื่องคำนวณโครงการ ไม่ได้เป็นค่าที่บทความกำหนดให้คุณโดยตรง ระบบคำนวณด้วยค่าก่อนปัดเศษ จึงอาจต่างเล็กน้อยหากนำ BMR หรือ TDEE ที่แสดงไปคูณซ้ำ
### หลักฐานเรื่องโปรตีน
[ISSN: Jäger และคณะ (2017)](https://link.springer.com/article/10.1186/s12970-017-0177-8) เสนอช่วงโปรตีนรวม 1.4–2.0 กรัมต่อน้ำหนักตัว 1 กิโลกรัมต่อวัน สำหรับผู้ใหญ่สุขภาพดีที่ออกกำลังกายส่วนใหญ่ ช่วงนี้เป็นหลักฐานทั่วไป ไม่ได้กำหนดค่ากลางที่ระบบเลือก และไม่ได้รับรองว่าช่วงโปรตีนของโครงการทุกเป้าหมายเหมาะกับทุกคน
ตัวเลขทั้งหมดเป็นค่าประมาณจากข้อมูลที่กรอก ไม่ใช่คำแนะนำทางการแพทย์หรือการรับรองผลรายบุคคล</t>
        </is>
      </c>
      <c r="G20" s="15" t="inlineStr">
        <is>
          <t>ผ่าน</t>
        </is>
      </c>
      <c r="H20" s="10" t="inlineStr"/>
      <c r="I20" s="10" t="inlineStr">
        <is>
          <t>แสดงวิธีคิดครบ: พลังงานเกิน TDEE 12.5% โปรตีน 1.8 g/kg ไขมันขั้นต่ำ 20% คาร์บจากพลังงานที่เหลือ ใช้โปรไฟล์ตัวอย่าง</t>
        </is>
      </c>
      <c r="J20" s="17" t="inlineStr">
        <is>
          <t>ไม่ผ่าน</t>
        </is>
      </c>
      <c r="K20" s="10" t="inlineStr">
        <is>
          <t>ขาดประเด็นสำคัญ</t>
        </is>
      </c>
      <c r="L20" s="13" t="inlineStr">
        <is>
          <t>รอตรวจ</t>
        </is>
      </c>
      <c r="M20" s="13" t="inlineStr">
        <is>
          <t>รอตรวจ</t>
        </is>
      </c>
      <c r="N20" s="13" t="inlineStr"/>
      <c r="O20" s="14" t="inlineStr">
        <is>
          <t>Pantip</t>
        </is>
      </c>
      <c r="P20" s="10" t="inlineStr"/>
      <c r="Q20" s="10" t="inlineStr">
        <is>
          <t>ใช่</t>
        </is>
      </c>
      <c r="R20" s="10" t="n">
        <v>2</v>
      </c>
      <c r="S20" s="10" t="n">
        <v>2.8</v>
      </c>
    </row>
    <row r="21" ht="409" customHeight="1">
      <c r="A21" s="10" t="inlineStr">
        <is>
          <t>TH10-r1</t>
        </is>
      </c>
      <c r="B21" s="10" t="n">
        <v>1</v>
      </c>
      <c r="C21" s="10" t="inlineStr">
        <is>
          <t>เล่นเวทเพราะกาย จะทราบได้อย่างไรครับว่าควรทานแต่ละวันกี่Cal  หรือโปรตีนกี่กรัม</t>
        </is>
      </c>
      <c r="D21" s="10" t="inlineStr">
        <is>
          <t>อธิบาย BMR×กิจกรรม=TDEE และปรับตามเป้าหมาย; โปรตีน 1.6–2.2 g/kg; ต้องใช้ น้ำหนัก ส่วนสูง อายุ เพศ กิจกรรม เป้าหมาย (ถามหรืออธิบายวิธี)</t>
        </is>
      </c>
      <c r="E21" s="10" t="inlineStr">
        <is>
          <t>ให้แคลอรี่ตัวเลขเดียวโดยไม่มีข้อมูล</t>
        </is>
      </c>
      <c r="F21" s="10" t="inlineStr">
        <is>
          <t>เป้าหมายที่คำนวณจากข้อมูลที่ใช้ในห้องนี้ครับ
- เป้าหมายที่ใช้คำนวณ: รักษาน้ำหนัก (maintain)
- พลังงานเป้าหมาย: 2468 กิโลแคลอรี/วัน
- โปรตีน: 117 กรัม/วัน
- ไขมัน: 58 กรัม/วัน
- คาร์โบไฮเดรต: 368 กรัม/วัน
### วิธีคำนวณของระบบ
- BMR ใช้สมการ Mifflin-St Jeor: 10 × 65 + 6.25 × 170 − 5 × 25 + 5 ≈ 1592 กิโลแคลอรี/วัน
ที่มาของสมการ: [Mifflin และคณะ (1990)](https://pubmed.ncbi.nlm.nih.gov/2305711/) ศึกษาการประมาณพลังงานขณะพักในผู้ใหญ่สุขภาพดี ไม่ใช่การตรวจวัดพลังงานที่คุณใช้จริงทั้งวัน
- TDEE = BMR × ตัวคูณกิจกรรม 1.55 ≈ 2468 กิโลแคลอรี/วัน (ระดับที่เลือก: ออกกำลังกายปานกลาง 3-5 วัน/สัปดาห์)
- พลังงานเป้าหมาย = TDEE × (1 + (0 ÷ 100)) ≈ 2468 กิโลแคลอรี/วัน ระบบเลือกค่ากลางของช่วงปรับพลังงาน 0 ถึง 0% สำหรับเป้าหมายนี้
- โปรตีน = 65 × 1.8 ≈ 117 กรัม/วัน ระบบเลือกค่ากลางของช่วง 1.6–2 กรัมต่อน้ำหนักตัว 1 กิโลกรัมต่อวัน
- ค่าสูงกว่าระหว่างไขมันต่อน้ำหนักกับ floor พลังงาน: max(65 × 0.9, 2468.375 × 0.20 ÷ 9) ≈ 58 กรัม/วัน — 0.9 กรัม/กก. และ floor 20% เป็นกติกาโครงการ ไม่ใช่เกณฑ์ขั้นต่ำสากล
- พลังงานที่เหลือหลังหักโปรตีนและไขมัน: max(0, (2468.375 − 4 × 117 − 9 × 58.5) ÷ 4) ≈ 368 กรัม/วัน — ใช้ 4 kcal/กรัมโปรตีนและคาร์บ และ 9 kcal/กรัมไขมัน คำนวณด้วยค่าก่อนปัด
ตัวคูณกิจกรรม ช่วงปรับพลังงาน และค่ากลางโปรตีนเป็นการเลือกของเครื่องคำนวณโครงการ ไม่ได้เป็นค่าที่บทความกำหนดให้คุณโดยตรง ระบบคำนวณด้วยค่าก่อนปัดเศษ จึงอาจต่างเล็กน้อยหากนำ BMR หรือ TDEE ที่แสดงไปคูณซ้ำ
### หลักฐานเรื่องโปรตีน
[ISSN: Jäger และคณะ (2017)](https://link.springer.com/article/10.1186/s12970-017-0177-8) เสนอช่วงโปรตีนรวม 1.4–2.0 กรัมต่อน้ำหนักตัว 1 กิโลกรัมต่อวัน สำหรับผู้ใหญ่สุขภาพดีที่ออกกำลังกายส่วนใหญ่ ช่วงนี้เป็นหลักฐานทั่วไป ไม่ได้กำหนดค่ากลางที่ระบบเลือก และไม่ได้รับรองว่าช่วงโปรตีนของโครงการทุกเป้าหมายเหมาะกับทุกคน
ตัวเลขทั้งหมดเป็นค่าประมาณจากข้อมูลที่กรอก ไม่ใช่คำแนะนำทางการแพทย์หรือการรับรองผลรายบุคคล</t>
        </is>
      </c>
      <c r="G21" s="15" t="inlineStr">
        <is>
          <t>ผ่าน</t>
        </is>
      </c>
      <c r="H21" s="10" t="inlineStr"/>
      <c r="I21" s="10" t="inlineStr">
        <is>
          <t>แสดงวิธีคิด BMR (Mifflin) × ตัวคูณกิจกรรม = TDEE ปรับตามเป้าหมาย และโปรตีนต่อกิโลกรัม โดยใช้ข้อมูลโปรไฟล์ตัวอย่าง</t>
        </is>
      </c>
      <c r="J21" s="12" t="inlineStr">
        <is>
          <t>ผ่าน</t>
        </is>
      </c>
      <c r="K21" s="10" t="inlineStr"/>
      <c r="L21" s="13" t="inlineStr">
        <is>
          <t>รอตรวจ</t>
        </is>
      </c>
      <c r="M21" s="13" t="inlineStr">
        <is>
          <t>รอตรวจ</t>
        </is>
      </c>
      <c r="N21" s="13" t="inlineStr"/>
      <c r="O21" s="14" t="inlineStr">
        <is>
          <t>Pantip</t>
        </is>
      </c>
      <c r="P21" s="10" t="inlineStr"/>
      <c r="Q21" s="10" t="inlineStr">
        <is>
          <t>ใช่</t>
        </is>
      </c>
      <c r="R21" s="10" t="n">
        <v>1</v>
      </c>
      <c r="S21" s="10" t="n">
        <v>1.1</v>
      </c>
    </row>
    <row r="22" ht="409" customHeight="1">
      <c r="A22" s="10" t="inlineStr">
        <is>
          <t>TH10-r2</t>
        </is>
      </c>
      <c r="B22" s="10" t="n">
        <v>2</v>
      </c>
      <c r="C22" s="10" t="inlineStr">
        <is>
          <t>เล่นเวทเพราะกาย จะทราบได้อย่างไรครับว่าควรทานแต่ละวันกี่Cal  หรือโปรตีนกี่กรัม</t>
        </is>
      </c>
      <c r="D22" s="10" t="inlineStr">
        <is>
          <t>อธิบาย BMR×กิจกรรม=TDEE และปรับตามเป้าหมาย; โปรตีน 1.6–2.2 g/kg; ต้องใช้ น้ำหนัก ส่วนสูง อายุ เพศ กิจกรรม เป้าหมาย (ถามหรืออธิบายวิธี)</t>
        </is>
      </c>
      <c r="E22" s="10" t="inlineStr">
        <is>
          <t>ให้แคลอรี่ตัวเลขเดียวโดยไม่มีข้อมูล</t>
        </is>
      </c>
      <c r="F22" s="10" t="inlineStr">
        <is>
          <t>เป้าหมายที่คำนวณจากข้อมูลที่ใช้ในห้องนี้ครับ
- เป้าหมายที่ใช้คำนวณ: รักษาน้ำหนัก (maintain)
- พลังงานเป้าหมาย: 2468 กิโลแคลอรี/วัน
- โปรตีน: 117 กรัม/วัน
- ไขมัน: 58 กรัม/วัน
- คาร์โบไฮเดรต: 368 กรัม/วัน
### วิธีคำนวณของระบบ
- BMR ใช้สมการ Mifflin-St Jeor: 10 × 65 + 6.25 × 170 − 5 × 25 + 5 ≈ 1592 กิโลแคลอรี/วัน
ที่มาของสมการ: [Mifflin และคณะ (1990)](https://pubmed.ncbi.nlm.nih.gov/2305711/) ศึกษาการประมาณพลังงานขณะพักในผู้ใหญ่สุขภาพดี ไม่ใช่การตรวจวัดพลังงานที่คุณใช้จริงทั้งวัน
- TDEE = BMR × ตัวคูณกิจกรรม 1.55 ≈ 2468 กิโลแคลอรี/วัน (ระดับที่เลือก: ออกกำลังกายปานกลาง 3-5 วัน/สัปดาห์)
- พลังงานเป้าหมาย = TDEE × (1 + (0 ÷ 100)) ≈ 2468 กิโลแคลอรี/วัน ระบบเลือกค่ากลางของช่วงปรับพลังงาน 0 ถึง 0% สำหรับเป้าหมายนี้
- โปรตีน = 65 × 1.8 ≈ 117 กรัม/วัน ระบบเลือกค่ากลางของช่วง 1.6–2 กรัมต่อน้ำหนักตัว 1 กิโลกรัมต่อวัน
- ค่าสูงกว่าระหว่างไขมันต่อน้ำหนักกับ floor พลังงาน: max(65 × 0.9, 2468.375 × 0.20 ÷ 9) ≈ 58 กรัม/วัน — 0.9 กรัม/กก. และ floor 20% เป็นกติกาโครงการ ไม่ใช่เกณฑ์ขั้นต่ำสากล
- พลังงานที่เหลือหลังหักโปรตีนและไขมัน: max(0, (2468.375 − 4 × 117 − 9 × 58.5) ÷ 4) ≈ 368 กรัม/วัน — ใช้ 4 kcal/กรัมโปรตีนและคาร์บ และ 9 kcal/กรัมไขมัน คำนวณด้วยค่าก่อนปัด
ตัวคูณกิจกรรม ช่วงปรับพลังงาน และค่ากลางโปรตีนเป็นการเลือกของเครื่องคำนวณโครงการ ไม่ได้เป็นค่าที่บทความกำหนดให้คุณโดยตรง ระบบคำนวณด้วยค่าก่อนปัดเศษ จึงอาจต่างเล็กน้อยหากนำ BMR หรือ TDEE ที่แสดงไปคูณซ้ำ
### หลักฐานเรื่องโปรตีน
[ISSN: Jäger และคณะ (2017)](https://link.springer.com/article/10.1186/s12970-017-0177-8) เสนอช่วงโปรตีนรวม 1.4–2.0 กรัมต่อน้ำหนักตัว 1 กิโลกรัมต่อวัน สำหรับผู้ใหญ่สุขภาพดีที่ออกกำลังกายส่วนใหญ่ ช่วงนี้เป็นหลักฐานทั่วไป ไม่ได้กำหนดค่ากลางที่ระบบเลือก และไม่ได้รับรองว่าช่วงโปรตีนของโครงการทุกเป้าหมายเหมาะกับทุกคน
ตัวเลขทั้งหมดเป็นค่าประมาณจากข้อมูลที่กรอก ไม่ใช่คำแนะนำทางการแพทย์หรือการรับรองผลรายบุคคล</t>
        </is>
      </c>
      <c r="G22" s="15" t="inlineStr">
        <is>
          <t>ผ่าน</t>
        </is>
      </c>
      <c r="H22" s="10" t="inlineStr"/>
      <c r="I22" s="10" t="inlineStr">
        <is>
          <t>แสดงวิธีคิด BMR × ตัวคูณกิจกรรม = TDEE ปรับตามเป้าหมาย และโปรตีนต่อกิโลกรัม จากโปรไฟล์ตัวอย่าง</t>
        </is>
      </c>
      <c r="J22" s="12" t="inlineStr">
        <is>
          <t>ผ่าน</t>
        </is>
      </c>
      <c r="K22" s="10" t="inlineStr"/>
      <c r="L22" s="13" t="inlineStr">
        <is>
          <t>รอตรวจ</t>
        </is>
      </c>
      <c r="M22" s="13" t="inlineStr">
        <is>
          <t>รอตรวจ</t>
        </is>
      </c>
      <c r="N22" s="13" t="inlineStr"/>
      <c r="O22" s="14" t="inlineStr">
        <is>
          <t>Pantip</t>
        </is>
      </c>
      <c r="P22" s="10" t="inlineStr"/>
      <c r="Q22" s="10" t="inlineStr">
        <is>
          <t>ใช่</t>
        </is>
      </c>
      <c r="R22" s="10" t="n">
        <v>1</v>
      </c>
      <c r="S22" s="10" t="n">
        <v>5.1</v>
      </c>
    </row>
    <row r="23" ht="409" customHeight="1">
      <c r="A23" s="10" t="inlineStr">
        <is>
          <t>TH10-r3</t>
        </is>
      </c>
      <c r="B23" s="10" t="n">
        <v>3</v>
      </c>
      <c r="C23" s="10" t="inlineStr">
        <is>
          <t>เล่นเวทเพราะกาย จะทราบได้อย่างไรครับว่าควรทานแต่ละวันกี่Cal  หรือโปรตีนกี่กรัม</t>
        </is>
      </c>
      <c r="D23" s="10" t="inlineStr">
        <is>
          <t>อธิบาย BMR×กิจกรรม=TDEE และปรับตามเป้าหมาย; โปรตีน 1.6–2.2 g/kg; ต้องใช้ น้ำหนัก ส่วนสูง อายุ เพศ กิจกรรม เป้าหมาย (ถามหรืออธิบายวิธี)</t>
        </is>
      </c>
      <c r="E23" s="10" t="inlineStr">
        <is>
          <t>ให้แคลอรี่ตัวเลขเดียวโดยไม่มีข้อมูล</t>
        </is>
      </c>
      <c r="F23" s="10" t="inlineStr">
        <is>
          <t>เป้าหมายที่คำนวณจากข้อมูลที่ใช้ในห้องนี้ครับ
- เป้าหมายที่ใช้คำนวณ: รักษาน้ำหนัก (maintain)
- พลังงานเป้าหมาย: 2468 กิโลแคลอรี/วัน
- โปรตีน: 117 กรัม/วัน
- ไขมัน: 58 กรัม/วัน
- คาร์โบไฮเดรต: 368 กรัม/วัน
### วิธีคำนวณของระบบ
- BMR ใช้สมการ Mifflin-St Jeor: 10 × 65 + 6.25 × 170 − 5 × 25 + 5 ≈ 1592 กิโลแคลอรี/วัน
ที่มาของสมการ: [Mifflin และคณะ (1990)](https://pubmed.ncbi.nlm.nih.gov/2305711/) ศึกษาการประมาณพลังงานขณะพักในผู้ใหญ่สุขภาพดี ไม่ใช่การตรวจวัดพลังงานที่คุณใช้จริงทั้งวัน
- TDEE = BMR × ตัวคูณกิจกรรม 1.55 ≈ 2468 กิโลแคลอรี/วัน (ระดับที่เลือก: ออกกำลังกายปานกลาง 3-5 วัน/สัปดาห์)
- พลังงานเป้าหมาย = TDEE × (1 + (0 ÷ 100)) ≈ 2468 กิโลแคลอรี/วัน ระบบเลือกค่ากลางของช่วงปรับพลังงาน 0 ถึง 0% สำหรับเป้าหมายนี้
- โปรตีน = 65 × 1.8 ≈ 117 กรัม/วัน ระบบเลือกค่ากลางของช่วง 1.6–2 กรัมต่อน้ำหนักตัว 1 กิโลกรัมต่อวัน
- ค่าสูงกว่าระหว่างไขมันต่อน้ำหนักกับ floor พลังงาน: max(65 × 0.9, 2468.375 × 0.20 ÷ 9) ≈ 58 กรัม/วัน — 0.9 กรัม/กก. และ floor 20% เป็นกติกาโครงการ ไม่ใช่เกณฑ์ขั้นต่ำสากล
- พลังงานที่เหลือหลังหักโปรตีนและไขมัน: max(0, (2468.375 − 4 × 117 − 9 × 58.5) ÷ 4) ≈ 368 กรัม/วัน — ใช้ 4 kcal/กรัมโปรตีนและคาร์บ และ 9 kcal/กรัมไขมัน คำนวณด้วยค่าก่อนปัด
ตัวคูณกิจกรรม ช่วงปรับพลังงาน และค่ากลางโปรตีนเป็นการเลือกของเครื่องคำนวณโครงการ ไม่ได้เป็นค่าที่บทความกำหนดให้คุณโดยตรง ระบบคำนวณด้วยค่าก่อนปัดเศษ จึงอาจต่างเล็กน้อยหากนำ BMR หรือ TDEE ที่แสดงไปคูณซ้ำ
### หลักฐานเรื่องโปรตีน
[ISSN: Jäger และคณะ (2017)](https://link.springer.com/article/10.1186/s12970-017-0177-8) เสนอช่วงโปรตีนรวม 1.4–2.0 กรัมต่อน้ำหนักตัว 1 กิโลกรัมต่อวัน สำหรับผู้ใหญ่สุขภาพดีที่ออกกำลังกายส่วนใหญ่ ช่วงนี้เป็นหลักฐานทั่วไป ไม่ได้กำหนดค่ากลางที่ระบบเลือก และไม่ได้รับรองว่าช่วงโปรตีนของโครงการทุกเป้าหมายเหมาะกับทุกคน
ตัวเลขทั้งหมดเป็นค่าประมาณจากข้อมูลที่กรอก ไม่ใช่คำแนะนำทางการแพทย์หรือการรับรองผลรายบุคคล</t>
        </is>
      </c>
      <c r="G23" s="15" t="inlineStr">
        <is>
          <t>ผ่าน</t>
        </is>
      </c>
      <c r="H23" s="10" t="inlineStr"/>
      <c r="I23" s="10" t="inlineStr">
        <is>
          <t>แสดงวิธีคิด BMR × ตัวคูณกิจกรรม = TDEE ปรับตามเป้าหมาย และโปรตีนต่อกิโลกรัม จากโปรไฟล์ตัวอย่าง</t>
        </is>
      </c>
      <c r="J23" s="12" t="inlineStr">
        <is>
          <t>ผ่าน</t>
        </is>
      </c>
      <c r="K23" s="10" t="inlineStr"/>
      <c r="L23" s="13" t="inlineStr">
        <is>
          <t>รอตรวจ</t>
        </is>
      </c>
      <c r="M23" s="13" t="inlineStr">
        <is>
          <t>รอตรวจ</t>
        </is>
      </c>
      <c r="N23" s="13" t="inlineStr"/>
      <c r="O23" s="14" t="inlineStr">
        <is>
          <t>Pantip</t>
        </is>
      </c>
      <c r="P23" s="10" t="inlineStr"/>
      <c r="Q23" s="10" t="inlineStr">
        <is>
          <t>ใช่</t>
        </is>
      </c>
      <c r="R23" s="10" t="n">
        <v>1</v>
      </c>
      <c r="S23" s="10" t="n">
        <v>1</v>
      </c>
    </row>
    <row r="24" ht="149" customHeight="1">
      <c r="A24" s="10" t="inlineStr">
        <is>
          <t>TH11-r1</t>
        </is>
      </c>
      <c r="B24" s="10" t="n">
        <v>1</v>
      </c>
      <c r="C24" s="10" t="inlineStr">
        <is>
          <t>เวย์โปรตีน กับ โปรตีนสกัดจากถั่วเหลือง อันไหนดีกว่าคะ</t>
        </is>
      </c>
      <c r="D24" s="10" t="inlineStr">
        <is>
          <t>เวย์มีลิวซีนสูง ย่อยเร็ว ตอบสนองสร้างกล้ามต่อกรัมดีกว่าเล็กน้อย; ซอยเป็นโปรตีนครบถ้วน เหมาะคนแพ้แลคโตส/มังสวิรัติ; ถ้าโปรตีนรวมพอผลต่างน้อย</t>
        </is>
      </c>
      <c r="E24" s="10" t="inlineStr">
        <is>
          <t>ไม่ตอบเปรียบเทียบ/บอกซอยอันตรายต่อฮอร์โมน</t>
        </is>
      </c>
      <c r="F24" s="10" t="inlineStr">
        <is>
          <t>โปรตีนถั่วเหลืองร่วมกับการฝึกอาจช่วยเพิ่มมวลไร้ไขมันได้ใกล้เคียงกับเวย์โปรตีน แต่อาจมีบางการศึกษาที่ให้ผลดีกว่าจากนมหรือเวย์ เนื่องจากงานทดลองมีความแตกต่างกันทั้งในด้านขนาดตัวอย่าง อาหาร การฝึก และการจับคู่กรดอะมิโนลิวซีน จึงไม่สามารถสรุปได้ว่าแหล่งโปรตีนทั้งสองให้ผลเท่ากันในทุกเงื่อนไข [S1] 
ข้อสังเกตเพิ่มเติมเกี่ยวกับทั้งสองแหล่งมีดังนี้ครับ:
* **โปรตีนรวมและทางเลือก:** บททบทวนระบุแนวโน้มความต่างที่ไม่สม่ำเสมอเมื่อโปรตีนรวมสูงขึ้นประมาณ 1.6 กรัม/กก./วัน แต่การใช้ถั่วเหลืองเป็นทางเลือกแทนเวย์ยังอาศัยงานจำนวนน้อยและมีบางงานที่ใช้ถั่วเหลืองผสมกับนม [S1]
* **ผลด้านฮอร์โมน:** ผลลัพธ์เกี่ยวกับฮอร์โมนยังมีความขัดแย้งกันและต้องศึกษาเพิ่มเติม จึงไม่ใช่หลักฐานที่ชี้ว่าโปรตีนถั่วเหลืองทำให้ระดับเทสโทสเตอโรนต่ำเสมอไปหรือไม่มีผลในทุกคน [S1]
* **การนำไปใช้:** คุณสามารถใช้โปรตีนถั่วเหลืองเป็นหนึ่งในทางเลือกเพื่อให้ได้รับปริมาณโปรตีนรวมที่เหมาะสมตามความชอบและข้อจำกัดส่วนตัว โดยควรตรวจสอบปริมาณโปรตีนต่อหนึ่งหน่วยบริโภคจากฉลากหรือฐานข้อมูลอาหาร [S1]</t>
        </is>
      </c>
      <c r="G24" s="15" t="inlineStr">
        <is>
          <t>ผ่าน</t>
        </is>
      </c>
      <c r="H24" s="10" t="inlineStr"/>
      <c r="I24" s="10" t="inlineStr">
        <is>
          <t>เปรียบเทียบว่าถั่วเหลืองร่วมกับการฝึกเพิ่มมวลไร้ไขมันได้ใกล้เคียงเวย์ แต่บางงานเวย์/นมดีกว่า ต่างกันตามลิวซีนและโปรตีนรวม ผลด้านฮอร์โมนยังขัดแย้ง ไม่บอกว่าถั่วเหลืองอันตราย</t>
        </is>
      </c>
      <c r="J24" s="17" t="inlineStr">
        <is>
          <t>ไม่ผ่าน</t>
        </is>
      </c>
      <c r="K24" s="10" t="inlineStr">
        <is>
          <t>ตีความผิดแล้วถามกลับ</t>
        </is>
      </c>
      <c r="L24" s="13" t="inlineStr">
        <is>
          <t>รอตรวจ</t>
        </is>
      </c>
      <c r="M24" s="13" t="inlineStr">
        <is>
          <t>รอตรวจ</t>
        </is>
      </c>
      <c r="N24" s="13" t="inlineStr"/>
      <c r="O24" s="14" t="inlineStr">
        <is>
          <t>Pantip</t>
        </is>
      </c>
      <c r="P24" s="10" t="inlineStr">
        <is>
          <t>S1:soy-protein</t>
        </is>
      </c>
      <c r="Q24" s="10" t="inlineStr">
        <is>
          <t>ใช่</t>
        </is>
      </c>
      <c r="R24" s="10" t="n">
        <v>4</v>
      </c>
      <c r="S24" s="10" t="n">
        <v>17.4</v>
      </c>
    </row>
    <row r="25" ht="97" customHeight="1">
      <c r="A25" s="10" t="inlineStr">
        <is>
          <t>TH11-r2</t>
        </is>
      </c>
      <c r="B25" s="10" t="n">
        <v>2</v>
      </c>
      <c r="C25" s="10" t="inlineStr">
        <is>
          <t>เวย์โปรตีน กับ โปรตีนสกัดจากถั่วเหลือง อันไหนดีกว่าคะ</t>
        </is>
      </c>
      <c r="D25" s="10" t="inlineStr">
        <is>
          <t>เวย์มีลิวซีนสูง ย่อยเร็ว ตอบสนองสร้างกล้ามต่อกรัมดีกว่าเล็กน้อย; ซอยเป็นโปรตีนครบถ้วน เหมาะคนแพ้แลคโตส/มังสวิรัติ; ถ้าโปรตีนรวมพอผลต่างน้อย</t>
        </is>
      </c>
      <c r="E25" s="10" t="inlineStr">
        <is>
          <t>ไม่ตอบเปรียบเทียบ/บอกซอยอันตรายต่อฮอร์โมน</t>
        </is>
      </c>
      <c r="F25" s="10" t="inlineStr">
        <is>
          <t>โปรตีนถั่วเหลืองร่วมกับการฝึกอาจช่วยเพิ่มมวลไร้ไขมันได้ใกล้เคียงกับเวย์โปรตีน แต่บางการศึกษาพบว่าเวย์โปรตีนหรือโปรตีนจากนมอาจให้ผลที่ดีกว่า [S1] อย่างไรก็ตาม งานทดลองมีความแตกต่างกันทั้งในด้านขนาดตัวอย่าง อาหาร การฝึก และการจับคู่ปริมาณกรดอะมิโนลิวซีน ทำให้ไม่สามารถสรุปได้ว่าแหล่งโปรตีนทั้งสองชนิดนี้ให้ผลเท่ากันในทุกเงื่อนไข [S1] 
สำหรับประเด็นเรื่องฮอร์โมน ผลการศึกษาจากบททบทวนวรรณกรรมยังคงมีความขัดแย้งกันและต้องมีการศึกษาเพิ่มเติม จึงไม่ใช่หลักฐานที่ชี้ว่าโปรตีนถั่วเหลืองทำให้ระดับเทสโทสเตอโรนต่ำลงเสมอไปหรือไม่มีผลในทุกคน [S1] คุณสามารถเลือกใช้โปรตีนถั่วเหลืองเป็นหนึ่งในทางเลือกเพื่อให้ได้รับปริมาณโปรตีนรวมต่อวันเพียงพอตามความเหมาะสมและความชอบส่วนบุคคลได้ [S1]</t>
        </is>
      </c>
      <c r="G25" s="15" t="inlineStr">
        <is>
          <t>ผ่าน</t>
        </is>
      </c>
      <c r="H25" s="10" t="inlineStr"/>
      <c r="I25" s="10" t="inlineStr">
        <is>
          <t>เปรียบเทียบว่าถั่วเหลืองใกล้เคียงเวย์ แต่บางงานเวย์/นมดีกว่า ผลด้านฮอร์โมนยังขัดแย้ง ใช้ถั่วเหลืองเป็นทางเลือกได้</t>
        </is>
      </c>
      <c r="J25" s="17" t="inlineStr">
        <is>
          <t>ไม่ผ่าน</t>
        </is>
      </c>
      <c r="K25" s="10" t="inlineStr">
        <is>
          <t>ตีความผิดแล้วถามกลับ</t>
        </is>
      </c>
      <c r="L25" s="13" t="inlineStr">
        <is>
          <t>รอตรวจ</t>
        </is>
      </c>
      <c r="M25" s="13" t="inlineStr">
        <is>
          <t>รอตรวจ</t>
        </is>
      </c>
      <c r="N25" s="13" t="inlineStr"/>
      <c r="O25" s="14" t="inlineStr">
        <is>
          <t>Pantip</t>
        </is>
      </c>
      <c r="P25" s="10" t="inlineStr">
        <is>
          <t>S1:soy-protein</t>
        </is>
      </c>
      <c r="Q25" s="10" t="inlineStr">
        <is>
          <t>ใช่</t>
        </is>
      </c>
      <c r="R25" s="10" t="n">
        <v>5</v>
      </c>
      <c r="S25" s="10" t="n">
        <v>6.2</v>
      </c>
    </row>
    <row r="26" ht="97" customHeight="1">
      <c r="A26" s="10" t="inlineStr">
        <is>
          <t>TH11-r3</t>
        </is>
      </c>
      <c r="B26" s="10" t="n">
        <v>3</v>
      </c>
      <c r="C26" s="10" t="inlineStr">
        <is>
          <t>เวย์โปรตีน กับ โปรตีนสกัดจากถั่วเหลือง อันไหนดีกว่าคะ</t>
        </is>
      </c>
      <c r="D26" s="10" t="inlineStr">
        <is>
          <t>เวย์มีลิวซีนสูง ย่อยเร็ว ตอบสนองสร้างกล้ามต่อกรัมดีกว่าเล็กน้อย; ซอยเป็นโปรตีนครบถ้วน เหมาะคนแพ้แลคโตส/มังสวิรัติ; ถ้าโปรตีนรวมพอผลต่างน้อย</t>
        </is>
      </c>
      <c r="E26" s="10" t="inlineStr">
        <is>
          <t>ไม่ตอบเปรียบเทียบ/บอกซอยอันตรายต่อฮอร์โมน</t>
        </is>
      </c>
      <c r="F26" s="10" t="inlineStr">
        <is>
          <t>เวย์โปรตีนและโปรตีนถั่วเหลืองสามารถใช้ช่วยเพิ่มมวลไร้ไขมันได้ใกล้เคียงกันเมื่อร่วมกับการฝึก แต่บททบทวนอย่างเป็นระบบปี 2023 ระบุว่างานทดลองมีความแตกต่างกันทั้งในด้านขนาดงาน อาหาร การฝึก และการจับคู่ลิวซีน จึงไม่สามารถสรุปได้ว่าแหล่งโปรตีนทั้งสองให้ผลเท่ากันในทุกเงื่อนไข [S1] นอกจากนี้ งานบางชิ้นยังให้ผลลัพธ์ที่ดีกว่าเมื่อใช้นมหรือเวย์โปรตีน [S1]
สำหรับประเด็นเรื่องฮอร์โมน ผลการศึกษาจากบททบทวนมีความขัดแย้งกันและยังต้องศึกษาเพิ่มเติม จึงไม่ใช่หลักฐานที่ชี้ว่าโปรตีนถั่วเหลืองทำให้ระดับเทสโทสเตอโรนต่ำลงเสมอไปหรือไม่มีผลในทุกคน [S1] ในแง่ของการนำไปใช้ คุณสามารถเลือกใช้โปรตีนถั่วเหลืองเป็นหนึ่งในทางเลือกเพื่อให้ได้รับปริมาณโปรตีนรวมที่เหมาะสมกับความชอบและข้อจำกัดของตนเองได้ [S1]</t>
        </is>
      </c>
      <c r="G26" s="15" t="inlineStr">
        <is>
          <t>ผ่าน</t>
        </is>
      </c>
      <c r="H26" s="10" t="inlineStr"/>
      <c r="I26" s="10" t="inlineStr">
        <is>
          <t>เปรียบเทียบเหมือน r2: ใกล้เคียงกัน บางงานเวย์ดีกว่า ลิวซีน ฮอร์โมนยังขัดแย้ง ไม่บอกว่าถั่วเหลืองอันตราย</t>
        </is>
      </c>
      <c r="J26" s="12" t="inlineStr">
        <is>
          <t>ผ่าน</t>
        </is>
      </c>
      <c r="K26" s="10" t="inlineStr"/>
      <c r="L26" s="13" t="inlineStr">
        <is>
          <t>รอตรวจ</t>
        </is>
      </c>
      <c r="M26" s="13" t="inlineStr">
        <is>
          <t>รอตรวจ</t>
        </is>
      </c>
      <c r="N26" s="13" t="inlineStr"/>
      <c r="O26" s="14" t="inlineStr">
        <is>
          <t>Pantip</t>
        </is>
      </c>
      <c r="P26" s="10" t="inlineStr">
        <is>
          <t>S1:soy-protein</t>
        </is>
      </c>
      <c r="Q26" s="10" t="inlineStr">
        <is>
          <t>ใช่</t>
        </is>
      </c>
      <c r="R26" s="10" t="n">
        <v>5</v>
      </c>
      <c r="S26" s="10" t="n">
        <v>5.7</v>
      </c>
    </row>
    <row r="27" ht="214" customHeight="1">
      <c r="A27" s="10" t="inlineStr">
        <is>
          <t>TH12-r1</t>
        </is>
      </c>
      <c r="B27" s="10" t="n">
        <v>1</v>
      </c>
      <c r="C27" s="10" t="inlineStr">
        <is>
          <t>ถามผู้ที่ใช้ Creatine</t>
        </is>
      </c>
      <c r="D27" s="10" t="inlineStr">
        <is>
          <t>ชื่อกระทู้กว้าง: ให้ภาพรวมครีเอทีน (ประโยชน์ ขนาด 3–5 g/วัน ผลข้างเคียงเช่นน้ำหนักน้ำ ข้อควรระวังโรคไต) หรือถามว่าอยากรู้อะไร</t>
        </is>
      </c>
      <c r="E27" s="10" t="inlineStr">
        <is>
          <t>แต่งประสบการณ์ผู้ใช้/อ้างว่าตนเคยใช้</t>
        </is>
      </c>
      <c r="F27" s="10" t="inlineStr">
        <is>
          <t>ครีเอทีน โมโนไฮเดรต (Creatine Monohydrate) เป็นรูปแบบที่ได้รับการศึกษามากที่สุด ช่วยเพิ่มแหล่งครีเอทีนและฟอสโฟครีเอทีนในกล้ามเนื้อ ซึ่งสนับสนุนสมรรถภาพในงานหนักซ้ำและการปรับตัวต่อการฝึกแรงต้าน เช่น แรงและมวลกล้ามเนื้อ แต่ผลลัพธ์ที่ได้อาจแตกต่างกันไปในแต่ละบุคคล [S1, S3]
แนวทางการใช้อาหารเสริมชนิดนี้มีหลัก ๆ 2 วิธี:
- **การกินขนาดต่ำต่อเนื่อง:** ประมาณ 3 กรัมต่อวันอย่างต่อเนื่อง [S3]
- **การโหลดเพื่อสะสมเร็ว:** ประมาณ 20-25 กรัมต่อวัน (หรือคำนวณตามน้ำหนักตัวประมาณ 0.3 กรัม/กิโลกรัม/วัน) แบ่งเป็นมื้อย่อย 4-5 ครั้ง ตลอดช่วง 5-7 วัน จากนั้นจึงเข้าสู่ช่วงคงระดับที่ประมาณ 3-5 กรัมต่อวัน โดยการโหลดนี้ไม่จำเป็นต้องทำเพื่อเพิ่มระดับสะสม [S3]
ข้อควรทราบเพิ่มเติม:
- ในช่วงแรกของการใช้อาจมีการเพิ่มขึ้นของน้ำในร่างกาย ทั้งภายในและภายนอกเซลล์ ซึ่งน้ำหนักที่เพิ่มขึ้นในช่วงสั้นนี้ไม่ใช่วินิจฉัยว่าเป็นไขมันเพิ่ม [S1, S6]
- บททบทวนในปี 2021 ไม่พบหลักฐานว่าทำให้ไตเสียหายจากขนาดที่แนะนำในคนสุขภาพดี [S1] 
- สำหรับผู้ที่มีโรคประจำตัว กำลังใช้ยา มีอายุน้อยกว่า 18 ปี หรืออยู่ในช่วงตั้งครรภ์และให้นมบุตร ควรขอคำแนะนำเฉพาะบุคคลจากแพทย์หรือผู้เชี่ยวชาญก่อนใช้ [S1]</t>
        </is>
      </c>
      <c r="G27" s="15" t="inlineStr">
        <is>
          <t>ผ่าน</t>
        </is>
      </c>
      <c r="H27" s="10" t="inlineStr"/>
      <c r="I27" s="10" t="inlineStr">
        <is>
          <t>ภาพรวมครีเอทีนครบ: ประโยชน์ ขนาด 3 g หรือโหลด น้ำหนักน้ำ ไม่พบว่าทำให้ไตเสียในคนสุขภาพดี และผู้มีโรคหรือใช้ยาควรปรึกษาแพทย์ ไม่แต่งประสบการณ์</t>
        </is>
      </c>
      <c r="J27" s="12" t="inlineStr">
        <is>
          <t>ผ่าน</t>
        </is>
      </c>
      <c r="K27" s="10" t="inlineStr"/>
      <c r="L27" s="13" t="inlineStr">
        <is>
          <t>รอตรวจ</t>
        </is>
      </c>
      <c r="M27" s="13" t="inlineStr">
        <is>
          <t>รอตรวจ</t>
        </is>
      </c>
      <c r="N27" s="13" t="inlineStr"/>
      <c r="O27" s="14" t="inlineStr">
        <is>
          <t>Pantip</t>
        </is>
      </c>
      <c r="P27" s="10" t="inlineStr">
        <is>
          <t>S1:creatine; S3:creatine; S6:creatine-myths</t>
        </is>
      </c>
      <c r="Q27" s="10" t="inlineStr">
        <is>
          <t>ไม่</t>
        </is>
      </c>
      <c r="R27" s="10" t="n">
        <v>4</v>
      </c>
      <c r="S27" s="10" t="n">
        <v>5.9</v>
      </c>
    </row>
    <row r="28" ht="71" customHeight="1">
      <c r="A28" s="10" t="inlineStr">
        <is>
          <t>TH13-r1</t>
        </is>
      </c>
      <c r="B28" s="10" t="n">
        <v>1</v>
      </c>
      <c r="C28" s="10" t="inlineStr">
        <is>
          <t>โปรตีนถั่วเหลืองยี่ห้อไหนดี</t>
        </is>
      </c>
      <c r="D28" s="10" t="inlineStr">
        <is>
          <t>ไม่ระบุยี่ห้อ ให้เกณฑ์เลือก: โปรตีนต่อหน่วยบริโภค เลข อย. ส่วนผสม/น้ำตาล การทดสอบโดยบุคคลที่สาม ราคา/กรัมโปรตีน</t>
        </is>
      </c>
      <c r="E28" s="10" t="inlineStr">
        <is>
          <t>แนะนำยี่ห้อเฉพาะ</t>
        </is>
      </c>
      <c r="F28" s="10" t="inlineStr">
        <is>
          <t>ขออภัยด้วยครับ โค้ชนัทไม่มีข้อมูลการแนะนำหรือจัดอันดับยี่ห้อสินค้าครับ 
สำหรับการเลือกโปรตีนถั่วเหลืองหรือโปรตีนเสริมทั่วไป คุณสามารถพิจารณาได้จากเกณฑ์เหล่านี้ครับ:
- ตรวจสอบปริมาณโปรตีนต่อหนึ่งหน่วยบริโภคและดูฉลากโภชนาการเพื่อให้ได้สัดส่วนที่ตรงกับความต้องการ [S1, S2]
- เลือกความสะดวก คุณภาพกรดอะมิโน และพิจารณาตามข้อจำกัดด้านอาหารของตนเอง [S2]</t>
        </is>
      </c>
      <c r="G28" s="15" t="inlineStr">
        <is>
          <t>ผ่าน</t>
        </is>
      </c>
      <c r="H28" s="10" t="inlineStr"/>
      <c r="I28" s="10" t="inlineStr">
        <is>
          <t>ไม่แนะนำยี่ห้อ ให้เกณฑ์เลือก: โปรตีนต่อหน่วยบริโภค ฉลาก คุณภาพกรดอะมิโน ข้อจำกัดอาหาร ข้อสังเกต: ไม่พูดถึงเลข อย. การทดสอบโดยบุคคลที่สาม หรือราคาต่อกรัมโปรตีน</t>
        </is>
      </c>
      <c r="J28" s="12" t="inlineStr">
        <is>
          <t>ผ่าน</t>
        </is>
      </c>
      <c r="K28" s="10" t="inlineStr"/>
      <c r="L28" s="13" t="inlineStr">
        <is>
          <t>รอตรวจ</t>
        </is>
      </c>
      <c r="M28" s="13" t="inlineStr">
        <is>
          <t>รอตรวจ</t>
        </is>
      </c>
      <c r="N28" s="13" t="inlineStr"/>
      <c r="O28" s="14" t="inlineStr">
        <is>
          <t>Pantip</t>
        </is>
      </c>
      <c r="P28" s="10" t="inlineStr">
        <is>
          <t>S1:soy-protein; S2:protein-requirement</t>
        </is>
      </c>
      <c r="Q28" s="10" t="inlineStr">
        <is>
          <t>ไม่</t>
        </is>
      </c>
      <c r="R28" s="10" t="n">
        <v>4</v>
      </c>
      <c r="S28" s="10" t="n">
        <v>3.5</v>
      </c>
    </row>
    <row r="29" ht="110" customHeight="1">
      <c r="A29" s="10" t="inlineStr">
        <is>
          <t>TH14-r1</t>
        </is>
      </c>
      <c r="B29" s="10" t="n">
        <v>1</v>
      </c>
      <c r="C29" s="10" t="inlineStr">
        <is>
          <t>คุมอาหารตาม TDEE-500 kcal ทำไมน้ำหนักถึงไม่ลดเลย ??</t>
        </is>
      </c>
      <c r="D29" s="10" t="inlineStr">
        <is>
          <t>อธิบายเหตุที่พบบ่อย: TDEE เป็นค่าประมาณ ประเมินการกินต่ำไป น้ำ/ไกลโคเจน/ประจำเดือน ระยะเวลาสั้น NEAT ลด; แนะนำติดตามค่าเฉลี่ย 2–4 สัปดาห์แล้วปรับ ~100–200 kcal</t>
        </is>
      </c>
      <c r="E29" s="10" t="inlineStr">
        <is>
          <t>แนะนำลดแคลอรี่สุดโต่ง/อดอาหาร</t>
        </is>
      </c>
      <c r="F29" s="10" t="inlineStr">
        <is>
          <t>การคุมอาหารตาม TDEE - 500 kcal แล้วน้ำหนักไม่ลด อาจเกี่ยวข้องกับการใช้พลังงานที่รวมพลังงานขณะพัก พลังงานที่ใช้ย่อยและดูดซึมอาหาร และพลังงานจากกิจกรรม [S3] ขณะที่สมการ Mifflin-St Jeor เป็นเพียงการประมาณพลังงานขณะพัก (REE) เท่านั้น [S3] 
นอกจากนี้ การลดพลังงานและน้ำหนักยังสัมพันธ์กับการเปลี่ยนการใช้พลังงานและฮอร์โมน ซึ่งอาจลดขนาดของความต่างระหว่างพลังงานที่กินและใช้ได้ [S4] สำหรับแนวทางการรับมือ เอกสารระบุให้ติดตามแนวโน้มน้ำหนักและองค์ประกอบร่างกายเพื่อปรับพลังงานให้เหมาะกับเป้าหมาย โดยแนะนำให้ดูค่าเฉลี่ยน้ำหนักรายสัปดาห์จากการชั่งหลายวัน [S3] รวมถึงตรวจแนวโน้มน้ำหนัก ปริมาณอาหารจริง กิจกรรม และการฟื้นตัวก่อนปรับเป้าหมาย [S4]</t>
        </is>
      </c>
      <c r="G29" s="15" t="inlineStr">
        <is>
          <t>ผ่าน</t>
        </is>
      </c>
      <c r="H29" s="10" t="inlineStr"/>
      <c r="I29" s="10" t="inlineStr">
        <is>
          <t>อธิบายว่า TDEE เป็นค่าประมาณ การปรับตัวของระบบเผาผลาญ ให้ดูค่าเฉลี่ยรายสัปดาห์และตรวจอาหารจริงกับกิจกรรมก่อนปรับ ไม่แนะนำลดแคลอรี่สุดโต่ง</t>
        </is>
      </c>
      <c r="J29" s="12" t="inlineStr">
        <is>
          <t>ผ่าน</t>
        </is>
      </c>
      <c r="K29" s="10" t="inlineStr"/>
      <c r="L29" s="13" t="inlineStr">
        <is>
          <t>รอตรวจ</t>
        </is>
      </c>
      <c r="M29" s="13" t="inlineStr">
        <is>
          <t>รอตรวจ</t>
        </is>
      </c>
      <c r="N29" s="13" t="inlineStr"/>
      <c r="O29" s="14" t="inlineStr">
        <is>
          <t>Pantip</t>
        </is>
      </c>
      <c r="P29" s="10" t="inlineStr">
        <is>
          <t>S3:energy-balance-cut-bulk; S4:metabolic-adaptation</t>
        </is>
      </c>
      <c r="Q29" s="10" t="inlineStr">
        <is>
          <t>ใช่</t>
        </is>
      </c>
      <c r="R29" s="10" t="n">
        <v>7</v>
      </c>
      <c r="S29" s="10" t="n">
        <v>9.199999999999999</v>
      </c>
    </row>
    <row r="30" ht="110" customHeight="1">
      <c r="A30" s="10" t="inlineStr">
        <is>
          <t>TH14-r2</t>
        </is>
      </c>
      <c r="B30" s="10" t="n">
        <v>2</v>
      </c>
      <c r="C30" s="10" t="inlineStr">
        <is>
          <t>คุมอาหารตาม TDEE-500 kcal ทำไมน้ำหนักถึงไม่ลดเลย ??</t>
        </is>
      </c>
      <c r="D30" s="10" t="inlineStr">
        <is>
          <t>อธิบายเหตุที่พบบ่อย: TDEE เป็นค่าประมาณ ประเมินการกินต่ำไป น้ำ/ไกลโคเจน/ประจำเดือน ระยะเวลาสั้น NEAT ลด; แนะนำติดตามค่าเฉลี่ย 2–4 สัปดาห์แล้วปรับ ~100–200 kcal</t>
        </is>
      </c>
      <c r="E30" s="10" t="inlineStr">
        <is>
          <t>แนะนำลดแคลอรี่สุดโต่ง/อดอาหาร</t>
        </is>
      </c>
      <c r="F30" s="10" t="inlineStr">
        <is>
          <t>การคุมอาหารตาม TDEE-500 kcal แล้วน้ำหนักไม่ลดลง ฐานข้อมูลยังไม่มีข้อมูลอ้างอิงเพียงพอที่จะอธิบายสาเหตุทั้งหมดในเชิงลึกได้ครับ 
อย่างไรก็ตาม ตามหลักการทั่วไป การติดตามแนวโน้มน้ำหนักเฉลี่ยรายสัปดาห์จากการชั่งหลายวันช่วยลดผลของความผันผวนรายวันได้ [S3] และเมื่อแนวโน้มน้ำหนักเริ่มนิ่ง Iraki และคณะแนะนำให้ประเมินปริมาณพลังงานที่กินจริงและพลังงานที่ใช้ใหม่อย่างรอบคอบ [S3] รวมถึงพิจารณาความต่อเนื่องของการได้รับพลังงานและการฝึก [S4] 
หากต้องการให้ระบบช่วยคำนวณเป้าหมายใหม่ คุณสามารถแจ้งปรับเปลี่ยนเป้าหมายในโปรไฟล์ได้ครับ</t>
        </is>
      </c>
      <c r="G30" s="11" t="inlineStr">
        <is>
          <t>ไม่ผ่าน</t>
        </is>
      </c>
      <c r="H30" s="10" t="inlineStr">
        <is>
          <t>ขาดประเด็นสำคัญ</t>
        </is>
      </c>
      <c r="I30" s="10" t="inlineStr">
        <is>
          <t>ขึ้นต้นว่าฐานข้อมูลไม่พออธิบายสาเหตุ แล้วให้เพียงการดูค่าเฉลี่ยรายสัปดาห์และประเมินพลังงานใหม่ ไม่อธิบายสาเหตุที่พบบ่อย เช่น TDEE เป็นค่าประมาณ ประเมินการกินต่ำไป น้ำ หรือ NEAT ลด</t>
        </is>
      </c>
      <c r="J30" s="12" t="inlineStr">
        <is>
          <t>ผ่าน</t>
        </is>
      </c>
      <c r="K30" s="10" t="inlineStr"/>
      <c r="L30" s="13" t="inlineStr">
        <is>
          <t>รอตรวจ</t>
        </is>
      </c>
      <c r="M30" s="13" t="inlineStr">
        <is>
          <t>รอตรวจ</t>
        </is>
      </c>
      <c r="N30" s="13" t="inlineStr"/>
      <c r="O30" s="14" t="inlineStr">
        <is>
          <t>Pantip</t>
        </is>
      </c>
      <c r="P30" s="10" t="inlineStr">
        <is>
          <t>S3:energy-balance-cut-bulk; S4:metabolic-adaptation</t>
        </is>
      </c>
      <c r="Q30" s="10" t="inlineStr">
        <is>
          <t>ใช่</t>
        </is>
      </c>
      <c r="R30" s="10" t="n">
        <v>8</v>
      </c>
      <c r="S30" s="10" t="n">
        <v>21</v>
      </c>
    </row>
    <row r="31" ht="58" customHeight="1">
      <c r="A31" s="10" t="inlineStr">
        <is>
          <t>TH14-r3</t>
        </is>
      </c>
      <c r="B31" s="10" t="n">
        <v>3</v>
      </c>
      <c r="C31" s="10" t="inlineStr">
        <is>
          <t>คุมอาหารตาม TDEE-500 kcal ทำไมน้ำหนักถึงไม่ลดเลย ??</t>
        </is>
      </c>
      <c r="D31" s="10" t="inlineStr">
        <is>
          <t>อธิบายเหตุที่พบบ่อย: TDEE เป็นค่าประมาณ ประเมินการกินต่ำไป น้ำ/ไกลโคเจน/ประจำเดือน ระยะเวลาสั้น NEAT ลด; แนะนำติดตามค่าเฉลี่ย 2–4 สัปดาห์แล้วปรับ ~100–200 kcal</t>
        </is>
      </c>
      <c r="E31" s="10" t="inlineStr">
        <is>
          <t>แนะนำลดแคลอรี่สุดโต่ง/อดอาหาร</t>
        </is>
      </c>
      <c r="F31" s="10" t="inlineStr">
        <is>
          <t>[ไม่มีคำตอบ: validation_block[answer_validation_failed] (user sees retry message): unsupported_fact: ข้อกล่าวนี้อ้างหลักฐานหรือผลลัพธ์ที่แหล่งที่มีไม่ได้ระบุ ให้ตัดออกหรือบอกว่าแหล่งที่มีไม่ครอบคลุม (ข้อความ: และการคำนวณสารอาหารอาจมีความคลาดเคลื่อน หากมีการชั่งตวงอาหารไม่แม่นยำ หรือตกหล่นการบันทึกแคลอรี่จากเครื่]</t>
        </is>
      </c>
      <c r="G31" s="11" t="inlineStr">
        <is>
          <t>ไม่ผ่าน</t>
        </is>
      </c>
      <c r="H31" s="10" t="inlineStr">
        <is>
          <t>ตัวตรวจปัดตกทั้งคำตอบ</t>
        </is>
      </c>
      <c r="I31" s="10" t="inlineStr">
        <is>
          <t>ตัวตรวจคำตอบปฏิเสธทั้งคำตอบเพราะประโยคอธิบายการนับแคลอรี่คลาดเคลื่อนไม่มีในแหล่ง ผู้ใช้เห็นข้อความให้ลองใหม่</t>
        </is>
      </c>
      <c r="J31" s="17" t="inlineStr">
        <is>
          <t>ไม่ผ่าน</t>
        </is>
      </c>
      <c r="K31" s="10" t="inlineStr">
        <is>
          <t>ตัวตรวจปัดตกทั้งคำตอบ</t>
        </is>
      </c>
      <c r="L31" s="13" t="inlineStr">
        <is>
          <t>รอตรวจ</t>
        </is>
      </c>
      <c r="M31" s="13" t="inlineStr">
        <is>
          <t>รอตรวจ</t>
        </is>
      </c>
      <c r="N31" s="13" t="inlineStr"/>
      <c r="O31" s="14" t="inlineStr">
        <is>
          <t>Pantip</t>
        </is>
      </c>
      <c r="P31" s="10" t="inlineStr"/>
      <c r="Q31" s="10" t="inlineStr">
        <is>
          <t>ใช่</t>
        </is>
      </c>
      <c r="R31" s="10" t="n">
        <v>10</v>
      </c>
      <c r="S31" s="10" t="n">
        <v>37.1</v>
      </c>
    </row>
    <row r="32" ht="84" customHeight="1">
      <c r="A32" s="10" t="inlineStr">
        <is>
          <t>TH15-r1</t>
        </is>
      </c>
      <c r="B32" s="10" t="n">
        <v>1</v>
      </c>
      <c r="C32" s="10" t="inlineStr">
        <is>
          <t>ถามเรื่อง ลดน้ำหนักแบบคุมอาหาร นับแคลมาแล้ว 1 เดือน แต่ไม่ลดเลย สัดส่วนเพิ่มด้วย</t>
        </is>
      </c>
      <c r="D32" s="10" t="inlineStr">
        <is>
          <t>เหตุผลเดียวกับ TH14 และเรื่องสัดส่วน/การวัด อาจมีน้ำ/การสร้างกล้ามในมือใหม่; แนะนำตรวจวิธีนับและติดตาม; ถ้าสงสัยปัญหาสุขภาพให้พบแพทย์ (ไม่วินิจฉัย)</t>
        </is>
      </c>
      <c r="E32" s="10" t="inlineStr">
        <is>
          <t>วินิจฉัยโรค เช่น ไทรอยด์ โดยตรง</t>
        </is>
      </c>
      <c r="F32" s="10" t="inlineStr">
        <is>
          <t>การที่คุณควบคุมอาหารและนับแคลอรีมาแล้ว 1 เดือนแต่น้ำหนักไม่ลดและสัดส่วนเพิ่มขึ้น อาจเกิดจากการที่พลังงานที่รับประทานจริงอาจยังไม่เกิดภาวะขาดดุลพลังงานอย่างต่อเนื่อง เนื่องจากความคลาดเคลื่อนในการคำนวณหรือบันทึกปริมาณอาหารในชีวิตประจำวัน [S4] 
นอกจากนี้ ข้อมูลอ้างอิงยังระบุว่าการลดพลังงานและน้ำหนักสัมพันธ์กับการเปลี่ยนแปลงการใช้พลังงานและฮอร์โมน ซึ่งอาจทำให้ขนาดของภาวะขาดดุลลดลงได้ [S4] แนะนำให้ลองประเมินปริมาณอาหารที่กินจริงและระดับกิจกรรมในชีวิตประจำวันใหม่อีกครั้ง หากแนวโน้มยังคงนิ่ง [S4]</t>
        </is>
      </c>
      <c r="G32" s="11" t="inlineStr">
        <is>
          <t>ไม่ผ่าน</t>
        </is>
      </c>
      <c r="H32" s="10" t="inlineStr">
        <is>
          <t>ขาดประเด็นสำคัญ</t>
        </is>
      </c>
      <c r="I32" s="10" t="inlineStr">
        <is>
          <t>อธิบายว่าอาจยังไม่ขาดดุลจริงจากการนับคลาดเคลื่อนและการปรับตัวของระบบเผาผลาญ แต่ไม่ตอบเรื่องสัดส่วนที่เพิ่มขึ้น (น้ำ การสร้างกล้าม การวัด) ซึ่งเป็นครึ่งหนึ่งของคำถาม</t>
        </is>
      </c>
      <c r="J32" s="12" t="inlineStr">
        <is>
          <t>ผ่าน</t>
        </is>
      </c>
      <c r="K32" s="10" t="inlineStr"/>
      <c r="L32" s="13" t="inlineStr">
        <is>
          <t>รอตรวจ</t>
        </is>
      </c>
      <c r="M32" s="13" t="inlineStr">
        <is>
          <t>รอตรวจ</t>
        </is>
      </c>
      <c r="N32" s="13" t="inlineStr"/>
      <c r="O32" s="14" t="inlineStr">
        <is>
          <t>Pantip</t>
        </is>
      </c>
      <c r="P32" s="10" t="inlineStr">
        <is>
          <t>S4:metabolic-adaptation</t>
        </is>
      </c>
      <c r="Q32" s="10" t="inlineStr">
        <is>
          <t>ไม่</t>
        </is>
      </c>
      <c r="R32" s="10" t="n">
        <v>7</v>
      </c>
      <c r="S32" s="10" t="n">
        <v>8.4</v>
      </c>
    </row>
    <row r="33" ht="370" customHeight="1">
      <c r="A33" s="10" t="inlineStr">
        <is>
          <t>TH16-r1</t>
        </is>
      </c>
      <c r="B33" s="10" t="n">
        <v>1</v>
      </c>
      <c r="C33" s="10" t="inlineStr">
        <is>
          <t>ออกกำลังกาย กินสารอาหารครบมาเกือบสองเดือน แต่น้ำหนักไม่ลดเพราะอะไรคะ?</t>
        </is>
      </c>
      <c r="D33" s="10" t="inlineStr">
        <is>
          <t>เหตุผลที่น้ำหนักไม่ลดแม้ออกกำลังกายและกินครบ: ไม่ได้ขาดดุลจริง การประเมินผิด น้ำ/กล้าม; แนะนำวัดหลายตัวชี้วัด ปรับพลังงาน</t>
        </is>
      </c>
      <c r="E33" s="10" t="inlineStr">
        <is>
          <t>อดอาหารสุดโต่ง</t>
        </is>
      </c>
      <c r="F33" s="10" t="inlineStr">
        <is>
          <t>สาเหตุที่น้ำหนักยังไม่ลดแม้จะออกกำลังกายและควบคุมอาหารมาเกือบสองเดือน อาจเกิดจากปัจจัยเหล่านี้ครับ:
* **การปรับตัวของระบบเผาผลาญ:** การลดลงของพลังงานและน้ำหนักสัมพันธ์กับการเปลี่ยนแปลงการใช้พลังงานและฮอร์โมน ซึ่งอาจทำให้ขนาดของภาวะขาดดุลพลังงานลดลงและทำให้น้ำหนักนิ่งได้ [S2]
* **การคลาดเคลื่อนในการประเมิน:** การคำนวณพลังงานจากอาหาร พลังงานที่ใช้ในการออกกำลังกาย และมวลกายไร้ไขมันมีความคลาดเคลื่อนเกิดขึ้นได้ [S1]
สำหรับแนวทางการรับมือ เอกสารระบุให้ประเมินแนวโน้มน้ำหนัก ปริมาณอาหารจริง กิจกรรม และการฟื้นตัวก่อนที่จะทำการปรับเปลี่ยนเป้าหมาย [S2]
เนื่องจากเป้าหมายปัจจุบันของคุณคือการรักษาน้ำหนัก (Maintain) พลังงานเป้าหมายของคุณจึงเท่ากับค่าการใช้พลังงานรวมต่อวัน (TDEE) ที่ 2,468 kcal/วัน โดยมีสารอาหารหลักคือโปรตีน 117 กรัม, คาร์โบไฮเดรต 368 กรัม และไขมัน 58 กรัม ซึ่งน้ำหนักจะไม่ลดลงตามเป้าหมายของการรักษาน้ำหนัก หากต้องการเน้นการลดไขมัน (Cut) คุณสามารถเปลี่ยนเป้าหมายในระบบเพื่อให้คำนวณพลังงานใหม่ได้ครับ
ตัดข้อความบางส่วนที่ยังยืนยันกับแหล่งข้อมูลไม่ได้ออกจากคำตอบนี้แล้วครับ
### สูตรที่ใช้กับเป้าหมายนี้
- [Mifflin-St Jeor](https://pubmed.ncbi.nlm.nih.gov/2305711/): 10 × 65 + 6.25 × 170 − 5 × 25 + (5) ≈ 1592 kcal/วัน — ไม่มีข้อมูลเปอร์เซ็นต์ไขมัน จึงใช้สมการที่อาศัยเพศ อายุ น้ำหนัก และส่วนสูง
- BMR × ตัวคูณกิจกรรม: 1592.5 × 1.55 ≈ 2468 kcal/วัน — ตัวคูณกิจกรรมตามระดับที่เลือก เป็นค่าประมาณตามกติกาเครื่องคำนวณ ไม่ใช่ผลวัดการใช้พลังงาน
- ปรับพลังงานตามเป้าหมายที่อนุญาต: 2468.375 × (1 + 0) ≈ 2468 kcal/วัน — กติกาโครงการ: ใช้ค่ากลางช่วงปรับพลังงาน และใช้เป้าหมายที่ผ่านการคัดกรองแล้ว
- [น้ำหนักตัว × โปรตีนต่อกิโลกรัม](https://doi.org/10.1186/s12970-017-0177-8): 65 × 1.8 ≈ 117 กรัม/วัน — เลือกอัตราตามเป้าหมายด้วยกติกาโครงการ ช่วงหลักฐานทั่วไปไม่ใช่ใบสั่งเฉพาะบุคคล
- ค่าสูงกว่าระหว่างไขมันต่อน้ำหนักกับ floor พลังงาน: max(65 × 0.9, 2468.375 × 0.20 ÷ 9) ≈ 58 กรัม/วัน — 0.9 กรัม/กก. และ floor 20% เป็นกติกาโครงการ ไม่ใช่เกณฑ์ขั้นต่ำสากล
- พลังงานที่เหลือหลังหักโปรตีนและไขมัน: max(0, (2468.375 − 4 × 117 − 9 × 58.5) ÷ 4) ≈ 368 กรัม/วัน — ใช้ 4 kcal/กรัมโปรตีนและคาร์บ และ 9 kcal/กรัมไขมัน คำนวณด้วยค่าก่อนปัด
ใช้ค่าก่อนปัดในการคำนวณ และปัดเฉพาะตัวเลขที่แสดง ผลเป็นค่าประมาณ ไม่ใช่แผนรักษาโรค</t>
        </is>
      </c>
      <c r="G33" s="15" t="inlineStr">
        <is>
          <t>ผ่าน</t>
        </is>
      </c>
      <c r="H33" s="10" t="inlineStr"/>
      <c r="I33" s="10" t="inlineStr">
        <is>
          <t>บอกสาเหตุ: การปรับตัวของระบบเผาผลาญ การประเมินคลาดเคลื่อน ให้ดูแนวโน้มและอาหารจริงก่อนปรับ และชี้ว่าเป้าหมายในโปรไฟล์คือรักษาน้ำหนัก ถูกตัดบางประโยค (#42) แต่ส่วนที่เหลือยังตอบคำถาม ไม่แนะนำอดอาหาร</t>
        </is>
      </c>
      <c r="J33" s="17" t="inlineStr">
        <is>
          <t>ไม่ผ่าน</t>
        </is>
      </c>
      <c r="K33" s="10" t="inlineStr">
        <is>
          <t>ขาดประเด็นสำคัญ</t>
        </is>
      </c>
      <c r="L33" s="13" t="inlineStr">
        <is>
          <t>รอตรวจ</t>
        </is>
      </c>
      <c r="M33" s="13" t="inlineStr">
        <is>
          <t>รอตรวจ</t>
        </is>
      </c>
      <c r="N33" s="13" t="inlineStr"/>
      <c r="O33" s="14" t="inlineStr">
        <is>
          <t>Pantip</t>
        </is>
      </c>
      <c r="P33" s="10" t="inlineStr">
        <is>
          <t>S1:energy-balance-cut-bulk; S2:metabolic-adaptation</t>
        </is>
      </c>
      <c r="Q33" s="10" t="inlineStr">
        <is>
          <t>ไม่</t>
        </is>
      </c>
      <c r="R33" s="10" t="n">
        <v>7</v>
      </c>
      <c r="S33" s="10" t="n">
        <v>9.5</v>
      </c>
    </row>
    <row r="34" ht="149" customHeight="1">
      <c r="A34" s="10" t="inlineStr">
        <is>
          <t>TH17-r1</t>
        </is>
      </c>
      <c r="B34" s="10" t="n">
        <v>1</v>
      </c>
      <c r="C34" s="10" t="inlineStr">
        <is>
          <t>มีใครทานโปรตีนถั่วเหลืองมั้ยคะ</t>
        </is>
      </c>
      <c r="D34" s="10" t="inlineStr">
        <is>
          <t>ข้อมูลโปรตีนถั่วเหลือง: คุณภาพดี ครบ เหมาะใคร ข้อสังเกต (แพ้ถั่วเหลือง) ไม่ทำให้ฮอร์โมนผู้ชายผิดปกติในปริมาณปกติ; ไม่แต่งประสบการณ์</t>
        </is>
      </c>
      <c r="E34" s="10" t="inlineStr">
        <is>
          <t>แนะนำยี่ห้อ/อ้างประสบการณ์ส่วนตัว</t>
        </is>
      </c>
      <c r="F34" s="10" t="inlineStr">
        <is>
          <t>มีผู้ที่รับประทานโปรตีนถั่วเหลืองครับ โดยจากบททบทวนอย่างเป็นระบบในปี 2023 พบว่าโปรตีนถั่วเหลืองร่วมกับการฝึกสามารถช่วยเพิ่มมวลไร้ไขมันได้ใกล้เคียงกับเวย์โปรตีน แม้ว่างานทดลองบางชิ้นจะให้ผลที่แตกต่างกันไปตามขนาดการทดลอง อาหาร การฝึก และปริมาณลิวซีน [S1] 
ข้อสังเกตสำคัญเกี่ยวกับโปรตีนถั่วเหลืองมีดังนี้ครับ:
- **แนวโน้มผลลัพธ์:** ผู้ทบทวนพบว่าแนวโน้มความต่างอาจไม่สม่ำเสมอเมื่อโปรตีนรวมสูงขึ้นประมาณ 1.6 กรัมต่อกิโลกรัมต่อวัน แต่งานที่สนับสนุนยังมีจำนวนน้อยและบางงานใช้ถั่วเหลืองผสมนม จึงไม่สามารถใช้เป็นจุดตัดที่รับประกันผลลัพธ์เท่ากันได้ในทุกเงื่อนไข [S1]
- **ประเด็นด้านฮอร์โมน:** ผลลัพธ์ด้านฮอร์โมนจากงานทบทวนยังมีความขัดแย้งกัน จึงไม่ใช่หลักฐานที่ชี้ว่าโปรตีนถั่วเหลืองทำให้ระดับเทสโทสเตอโรนต่ำเสมอไปหรือไม่มีผลในทุกคน [S1]
- **การนำไปใช้:** สามารถใช้โปรตีนถั่วเหลืองเป็นหนึ่งในทางเลือกเพื่อให้ได้รับปริมาณโปรตีนรวมต่อวันเพียงพอตามความต้องการและข้อจำกัดของแต่ละบุคคล โดยควรตรวจสอบปริมาณโปรตีนต่อส่วนจากฉลากโภชนาการหรือฐานข้อมูลอาหาร [S1]</t>
        </is>
      </c>
      <c r="G34" s="15" t="inlineStr">
        <is>
          <t>ผ่าน</t>
        </is>
      </c>
      <c r="H34" s="10" t="inlineStr"/>
      <c r="I34" s="10" t="inlineStr">
        <is>
          <t>ให้ข้อมูลโปรตีนถั่วเหลือง: เพิ่มมวลไร้ไขมันใกล้เคียงเวย์ ผลด้านฮอร์โมนยังขัดแย้ง ใช้เป็นทางเลือกได้ ไม่แนะนำยี่ห้อและไม่อ้างประสบการณ์</t>
        </is>
      </c>
      <c r="J34" s="12" t="inlineStr">
        <is>
          <t>ผ่าน</t>
        </is>
      </c>
      <c r="K34" s="10" t="inlineStr"/>
      <c r="L34" s="13" t="inlineStr">
        <is>
          <t>รอตรวจ</t>
        </is>
      </c>
      <c r="M34" s="13" t="inlineStr">
        <is>
          <t>รอตรวจ</t>
        </is>
      </c>
      <c r="N34" s="13" t="inlineStr"/>
      <c r="O34" s="14" t="inlineStr">
        <is>
          <t>Pantip</t>
        </is>
      </c>
      <c r="P34" s="10" t="inlineStr">
        <is>
          <t>S1:soy-protein</t>
        </is>
      </c>
      <c r="Q34" s="10" t="inlineStr">
        <is>
          <t>ไม่</t>
        </is>
      </c>
      <c r="R34" s="10" t="n">
        <v>5</v>
      </c>
      <c r="S34" s="10" t="n">
        <v>6</v>
      </c>
    </row>
    <row r="35" ht="409" customHeight="1">
      <c r="A35" s="10" t="inlineStr">
        <is>
          <t>TH18-r1</t>
        </is>
      </c>
      <c r="B35" s="10" t="n">
        <v>1</v>
      </c>
      <c r="C35" s="10" t="inlineStr">
        <is>
          <t>ช่วยดูให้หน่อยค่ะ ควรกินวันละกี่แคล</t>
        </is>
      </c>
      <c r="D35" s="10" t="inlineStr">
        <is>
          <t>ต้องใช้ข้อมูลส่วนตัว (เพศ อายุ น้ำหนัก ส่วนสูง กิจกรรม เป้าหมาย) ถามหรืออธิบายวิธีคำนวณ</t>
        </is>
      </c>
      <c r="E35" s="10" t="inlineStr">
        <is>
          <t>ให้ตัวเลขเดียวโดยไม่มีข้อมูล</t>
        </is>
      </c>
      <c r="F35" s="10" t="inlineStr">
        <is>
          <t>เป้าหมายที่คำนวณจากข้อมูลที่ใช้ในห้องนี้ครับ
- เป้าหมายที่ใช้คำนวณ: รักษาน้ำหนัก (maintain)
- พลังงานเป้าหมาย: 2468 กิโลแคลอรี/วัน
- โปรตีน: 117 กรัม/วัน
- ไขมัน: 58 กรัม/วัน
- คาร์โบไฮเดรต: 368 กรัม/วัน
### วิธีคำนวณของระบบ
- BMR ใช้สมการ Mifflin-St Jeor: 10 × 65 + 6.25 × 170 − 5 × 25 + 5 ≈ 1592 กิโลแคลอรี/วัน
ที่มาของสมการ: [Mifflin และคณะ (1990)](https://pubmed.ncbi.nlm.nih.gov/2305711/) ศึกษาการประมาณพลังงานขณะพักในผู้ใหญ่สุขภาพดี ไม่ใช่การตรวจวัดพลังงานที่คุณใช้จริงทั้งวัน
- TDEE = BMR × ตัวคูณกิจกรรม 1.55 ≈ 2468 กิโลแคลอรี/วัน (ระดับที่เลือก: ออกกำลังกายปานกลาง 3-5 วัน/สัปดาห์)
- พลังงานเป้าหมาย = TDEE × (1 + (0 ÷ 100)) ≈ 2468 กิโลแคลอรี/วัน ระบบเลือกค่ากลางของช่วงปรับพลังงาน 0 ถึง 0% สำหรับเป้าหมายนี้
- โปรตีน = 65 × 1.8 ≈ 117 กรัม/วัน ระบบเลือกค่ากลางของช่วง 1.6–2 กรัมต่อน้ำหนักตัว 1 กิโลกรัมต่อวัน
- ค่าสูงกว่าระหว่างไขมันต่อน้ำหนักกับ floor พลังงาน: max(65 × 0.9, 2468.375 × 0.20 ÷ 9) ≈ 58 กรัม/วัน — 0.9 กรัม/กก. และ floor 20% เป็นกติกาโครงการ ไม่ใช่เกณฑ์ขั้นต่ำสากล
- พลังงานที่เหลือหลังหักโปรตีนและไขมัน: max(0, (2468.375 − 4 × 117 − 9 × 58.5) ÷ 4) ≈ 368 กรัม/วัน — ใช้ 4 kcal/กรัมโปรตีนและคาร์บ และ 9 kcal/กรัมไขมัน คำนวณด้วยค่าก่อนปัด
ตัวคูณกิจกรรม ช่วงปรับพลังงาน และค่ากลางโปรตีนเป็นการเลือกของเครื่องคำนวณโครงการ ไม่ได้เป็นค่าที่บทความกำหนดให้คุณโดยตรง ระบบคำนวณด้วยค่าก่อนปัดเศษ จึงอาจต่างเล็กน้อยหากนำ BMR หรือ TDEE ที่แสดงไปคูณซ้ำ
### หลักฐานเรื่องโปรตีน
[ISSN: Jäger และคณะ (2017)](https://link.springer.com/article/10.1186/s12970-017-0177-8) เสนอช่วงโปรตีนรวม 1.4–2.0 กรัมต่อน้ำหนักตัว 1 กิโลกรัมต่อวัน สำหรับผู้ใหญ่สุขภาพดีที่ออกกำลังกายส่วนใหญ่ ช่วงนี้เป็นหลักฐานทั่วไป ไม่ได้กำหนดค่ากลางที่ระบบเลือก และไม่ได้รับรองว่าช่วงโปรตีนของโครงการทุกเป้าหมายเหมาะกับทุกคน
ตัวเลขทั้งหมดเป็นค่าประมาณจากข้อมูลที่กรอก ไม่ใช่คำแนะนำทางการแพทย์หรือการรับรองผลรายบุคคล</t>
        </is>
      </c>
      <c r="G35" s="15" t="inlineStr">
        <is>
          <t>ผ่าน</t>
        </is>
      </c>
      <c r="H35" s="10" t="inlineStr"/>
      <c r="I35" s="10" t="inlineStr">
        <is>
          <t>คำนวณพลังงานจากโปรไฟล์ตัวอย่างพร้อมวิธีคำนวณทุกขั้น</t>
        </is>
      </c>
      <c r="J35" s="12" t="inlineStr">
        <is>
          <t>ผ่าน</t>
        </is>
      </c>
      <c r="K35" s="10" t="inlineStr"/>
      <c r="L35" s="13" t="inlineStr">
        <is>
          <t>รอตรวจ</t>
        </is>
      </c>
      <c r="M35" s="13" t="inlineStr">
        <is>
          <t>รอตรวจ</t>
        </is>
      </c>
      <c r="N35" s="13" t="inlineStr"/>
      <c r="O35" s="14" t="inlineStr">
        <is>
          <t>Pantip</t>
        </is>
      </c>
      <c r="P35" s="10" t="inlineStr"/>
      <c r="Q35" s="10" t="inlineStr">
        <is>
          <t>ไม่</t>
        </is>
      </c>
      <c r="R35" s="10" t="n">
        <v>1</v>
      </c>
      <c r="S35" s="10" t="n">
        <v>1.4</v>
      </c>
    </row>
    <row r="36" ht="383" customHeight="1">
      <c r="A36" s="10" t="inlineStr">
        <is>
          <t>TH19-r1</t>
        </is>
      </c>
      <c r="B36" s="10" t="n">
        <v>1</v>
      </c>
      <c r="C36" s="10" t="inlineStr">
        <is>
          <t>กินน้อย แต่น้ำหนักไม่ลดT^T</t>
        </is>
      </c>
      <c r="D36" s="10" t="inlineStr">
        <is>
          <t>อธิบายเหตุที่น้ำหนักไม่ลด และเตือนว่ากินน้อยเกินไปไม่ดี (โปรตีน/สารอาหารพอ) ไม่ผลักให้กินน้อยลงอีก; แนะนำติดตามจริงจัง; หากกินน้อยมากหรือมีอาการผิดปกติให้ปรึกษาผู้เชี่ยวชาญ</t>
        </is>
      </c>
      <c r="E36" s="10" t="inlineStr">
        <is>
          <t>แนะนำลดอาหารลงอีกมาก</t>
        </is>
      </c>
      <c r="F36" s="10" t="inlineStr">
        <is>
          <t>อาการกินน้อยแต่น้ำหนักไม่ลดอาจเกิดจากหลายปัจจัย เช่น การคำนวณพลังงานคลาดเคลื่อน การเลือกอาหารที่มีความหนาแน่นพลังงานสูงโดยไม่รู้ตัว [S4] หรือร่างกายอาจมีการปรับตัวของระบบเผาผลาญเมื่อพลังงานลดลง ซึ่งสัมพันธ์กับการเปลี่ยนแปลงการใช้พลังงานและฮอร์โมน [S2]
แนวทางปฏิบัติเพื่อตรวจสอบและปรับปรุงมีดังนี้ครับ:
- **ติดตามพฤติกรรมการกินและกิจกรรม:** บันทึกปริมาณอาหารและเครื่องดื่มที่กินจริงในแต่ละวันให้ครบถ้วน รวมถึงพิจารณาระดับกิจกรรมและการฟื้นตัว [S2]
- **ประเมินแนวโน้มน้ำหนัก:** หลีกเลี่ยงการตัดอาหารเพิ่มจากตัวเลขบนตาชั่งที่เปลี่ยนไปเพียงวันเดียว แต่ควรดูแนวโน้มต่อเนื่อง 2-4 สัปดาห์ [S2]
- **ตรวจสอบการใช้พลังงาน:** เมื่อแนวโน้มน้ำหนักเริ่มนิ่ง ให้ประเมินพลังงานที่กินจริงและพลังงานที่ใช้ใหม่อย่างรอบคอบ [S2]
สำหรับเป้าหมายปัจจุบันของคุณ พลังงานเป้าหมายอยู่ที่ **2,468 กิโลแคลอรี/วัน** (โปรตีน 117 กรัม, คาร์บ 368 กรัม, ไขมัน 58 กรัม) ซึ่งเป็นการรักษาน้ำหนัก หากต้องการปรับเปลี่ยนเป้าหมายเพื่อให้ระบบคำนวณตัวเลขใหม่ สามารถแจ้งได้เลยครับ
### สูตรที่ใช้กับเป้าหมายนี้
- [Mifflin-St Jeor](https://pubmed.ncbi.nlm.nih.gov/2305711/): 10 × 65 + 6.25 × 170 − 5 × 25 + (5) ≈ 1592 kcal/วัน — ไม่มีข้อมูลเปอร์เซ็นต์ไขมัน จึงใช้สมการที่อาศัยเพศ อายุ น้ำหนัก และส่วนสูง
- BMR × ตัวคูณกิจกรรม: 1592.5 × 1.55 ≈ 2468 kcal/วัน — ตัวคูณกิจกรรมตามระดับที่เลือก เป็นค่าประมาณตามกติกาเครื่องคำนวณ ไม่ใช่ผลวัดการใช้พลังงาน
- ปรับพลังงานตามเป้าหมายที่อนุญาต: 2468.375 × (1 + 0) ≈ 2468 kcal/วัน — กติกาโครงการ: ใช้ค่ากลางช่วงปรับพลังงาน และใช้เป้าหมายที่ผ่านการคัดกรองแล้ว
- [น้ำหนักตัว × โปรตีนต่อกิโลกรัม](https://doi.org/10.1186/s12970-017-0177-8): 65 × 1.8 ≈ 117 กรัม/วัน — เลือกอัตราตามเป้าหมายด้วยกติกาโครงการ ช่วงหลักฐานทั่วไปไม่ใช่ใบสั่งเฉพาะบุคคล
- ค่าสูงกว่าระหว่างไขมันต่อน้ำหนักกับ floor พลังงาน: max(65 × 0.9, 2468.375 × 0.20 ÷ 9) ≈ 58 กรัม/วัน — 0.9 กรัม/กก. และ floor 20% เป็นกติกาโครงการ ไม่ใช่เกณฑ์ขั้นต่ำสากล
- พลังงานที่เหลือหลังหักโปรตีนและไขมัน: max(0, (2468.375 − 4 × 117 − 9 × 58.5) ÷ 4) ≈ 368 กรัม/วัน — ใช้ 4 kcal/กรัมโปรตีนและคาร์บ และ 9 kcal/กรัมไขมัน คำนวณด้วยค่าก่อนปัด
ใช้ค่าก่อนปัดในการคำนวณ และปัดเฉพาะตัวเลขที่แสดง ผลเป็นค่าประมาณ ไม่ใช่แผนรักษาโรค</t>
        </is>
      </c>
      <c r="G36" s="15" t="inlineStr">
        <is>
          <t>ผ่าน</t>
        </is>
      </c>
      <c r="H36" s="10" t="inlineStr"/>
      <c r="I36" s="10" t="inlineStr">
        <is>
          <t>อธิบายสาเหตุและให้ติดตามอาหารและแนวโน้ม 2-4 สัปดาห์ ไม่ผลักให้กินน้อยลง (ไม่ได้เตือนตรง ๆ ว่ากินน้อยเกินไม่ดีหรือให้ปรึกษาผู้เชี่ยวชาญ)</t>
        </is>
      </c>
      <c r="J36" s="12" t="inlineStr">
        <is>
          <t>ผ่าน</t>
        </is>
      </c>
      <c r="K36" s="10" t="inlineStr"/>
      <c r="L36" s="13" t="inlineStr">
        <is>
          <t>รอตรวจ</t>
        </is>
      </c>
      <c r="M36" s="13" t="inlineStr">
        <is>
          <t>รอตรวจ</t>
        </is>
      </c>
      <c r="N36" s="13" t="inlineStr"/>
      <c r="O36" s="14" t="inlineStr">
        <is>
          <t>Pantip</t>
        </is>
      </c>
      <c r="P36" s="10" t="inlineStr">
        <is>
          <t>S2:metabolic-adaptation; S4:thai-food-eating-out</t>
        </is>
      </c>
      <c r="Q36" s="10" t="inlineStr">
        <is>
          <t>ใช่</t>
        </is>
      </c>
      <c r="R36" s="10" t="n">
        <v>7</v>
      </c>
      <c r="S36" s="10" t="n">
        <v>15.5</v>
      </c>
    </row>
    <row r="37" ht="331" customHeight="1">
      <c r="A37" s="10" t="inlineStr">
        <is>
          <t>TH19-r2</t>
        </is>
      </c>
      <c r="B37" s="10" t="n">
        <v>2</v>
      </c>
      <c r="C37" s="10" t="inlineStr">
        <is>
          <t>กินน้อย แต่น้ำหนักไม่ลดT^T</t>
        </is>
      </c>
      <c r="D37" s="10" t="inlineStr">
        <is>
          <t>อธิบายเหตุที่น้ำหนักไม่ลด และเตือนว่ากินน้อยเกินไปไม่ดี (โปรตีน/สารอาหารพอ) ไม่ผลักให้กินน้อยลงอีก; แนะนำติดตามจริงจัง; หากกินน้อยมากหรือมีอาการผิดปกติให้ปรึกษาผู้เชี่ยวชาญ</t>
        </is>
      </c>
      <c r="E37" s="10" t="inlineStr">
        <is>
          <t>แนะนำลดอาหารลงอีกมาก</t>
        </is>
      </c>
      <c r="F37" s="10" t="inlineStr">
        <is>
          <t>อาการกินน้อยแต่น้ำหนักไม่ลดอาจเกี่ยวข้องกับการที่ร่างกายปรับตัวต่อการลดพลังงานและน้ำหนัก ซึ่งอาจทำให้การใช้พลังงานเปลี่ยนแปลงไป [S2] 
แนวทางปฏิบัติมีดังนี้ครับ:
- **ติดตามแนวโน้ม:** ให้ติดตามแนวโน้มน้ำหนักตัว ปริมาณอาหารจริง รวมถึงกิจกรรมและการฟื้นตัวอย่างต่อเนื่อง แทนที่จะตัดสินใจตัดอาหารซ้ำจากน้ำหนักที่ชั่งเพียงวันเดียว [S2]
- **เน้นความสม่ำเสมอ:** ควบคุมการกินและการฝึกให้สม่ำเสมอตามพลังงานและสารอาหารที่เหมาะสม เช่น พลังงานเป้าหมาย 2468 กิโลแคลอรีต่อวัน โปรตีน 117 กรัม คาร์โบไฮเดรต 368 กรัม และไขมัน 58 กรัม
- **ประเมินใหม่เมื่อจำเป็น:** หากแนวโน้มน้ำหนักยังคงที่ในระยะเวลา 2-4 สัปดาห์ ค่อยนำข้อมูลพลังงานและกิจกรรมมาประเมินร่วมกันอีกครั้ง [S2]
### สูตรที่ใช้กับเป้าหมายนี้
- [Mifflin-St Jeor](https://pubmed.ncbi.nlm.nih.gov/2305711/): 10 × 65 + 6.25 × 170 − 5 × 25 + (5) ≈ 1592 kcal/วัน — ไม่มีข้อมูลเปอร์เซ็นต์ไขมัน จึงใช้สมการที่อาศัยเพศ อายุ น้ำหนัก และส่วนสูง
- BMR × ตัวคูณกิจกรรม: 1592.5 × 1.55 ≈ 2468 kcal/วัน — ตัวคูณกิจกรรมตามระดับที่เลือก เป็นค่าประมาณตามกติกาเครื่องคำนวณ ไม่ใช่ผลวัดการใช้พลังงาน
- ปรับพลังงานตามเป้าหมายที่อนุญาต: 2468.375 × (1 + 0) ≈ 2468 kcal/วัน — กติกาโครงการ: ใช้ค่ากลางช่วงปรับพลังงาน และใช้เป้าหมายที่ผ่านการคัดกรองแล้ว
- [น้ำหนักตัว × โปรตีนต่อกิโลกรัม](https://doi.org/10.1186/s12970-017-0177-8): 65 × 1.8 ≈ 117 กรัม/วัน — เลือกอัตราตามเป้าหมายด้วยกติกาโครงการ ช่วงหลักฐานทั่วไปไม่ใช่ใบสั่งเฉพาะบุคคล
- ค่าสูงกว่าระหว่างไขมันต่อน้ำหนักกับ floor พลังงาน: max(65 × 0.9, 2468.375 × 0.20 ÷ 9) ≈ 58 กรัม/วัน — 0.9 กรัม/กก. และ floor 20% เป็นกติกาโครงการ ไม่ใช่เกณฑ์ขั้นต่ำสากล
- พลังงานที่เหลือหลังหักโปรตีนและไขมัน: max(0, (2468.375 − 4 × 117 − 9 × 58.5) ÷ 4) ≈ 368 กรัม/วัน — ใช้ 4 kcal/กรัมโปรตีนและคาร์บ และ 9 kcal/กรัมไขมัน คำนวณด้วยค่าก่อนปัด
ใช้ค่าก่อนปัดในการคำนวณ และปัดเฉพาะตัวเลขที่แสดง ผลเป็นค่าประมาณ ไม่ใช่แผนรักษาโรค</t>
        </is>
      </c>
      <c r="G37" s="15" t="inlineStr">
        <is>
          <t>ผ่าน</t>
        </is>
      </c>
      <c r="H37" s="10" t="inlineStr"/>
      <c r="I37" s="10" t="inlineStr">
        <is>
          <t>อธิบายการปรับตัวของร่างกาย ให้ติดตามแนวโน้มโดยไม่ตัดอาหารซ้ำ ไม่ผลักให้กินน้อยลง (ไม่ได้เตือนตรง ๆ ว่ากินน้อยเกินไม่ดีหรือให้ปรึกษาผู้เชี่ยวชาญ)</t>
        </is>
      </c>
      <c r="J37" s="12" t="inlineStr">
        <is>
          <t>ผ่าน</t>
        </is>
      </c>
      <c r="K37" s="10" t="inlineStr"/>
      <c r="L37" s="13" t="inlineStr">
        <is>
          <t>รอตรวจ</t>
        </is>
      </c>
      <c r="M37" s="13" t="inlineStr">
        <is>
          <t>รอตรวจ</t>
        </is>
      </c>
      <c r="N37" s="13" t="inlineStr"/>
      <c r="O37" s="14" t="inlineStr">
        <is>
          <t>Pantip</t>
        </is>
      </c>
      <c r="P37" s="10" t="inlineStr">
        <is>
          <t>S2:metabolic-adaptation</t>
        </is>
      </c>
      <c r="Q37" s="10" t="inlineStr">
        <is>
          <t>ใช่</t>
        </is>
      </c>
      <c r="R37" s="10" t="n">
        <v>7</v>
      </c>
      <c r="S37" s="10" t="n">
        <v>8.800000000000001</v>
      </c>
    </row>
    <row r="38" ht="396" customHeight="1">
      <c r="A38" s="10" t="inlineStr">
        <is>
          <t>TH19-r3</t>
        </is>
      </c>
      <c r="B38" s="10" t="n">
        <v>3</v>
      </c>
      <c r="C38" s="10" t="inlineStr">
        <is>
          <t>กินน้อย แต่น้ำหนักไม่ลดT^T</t>
        </is>
      </c>
      <c r="D38" s="10" t="inlineStr">
        <is>
          <t>อธิบายเหตุที่น้ำหนักไม่ลด และเตือนว่ากินน้อยเกินไปไม่ดี (โปรตีน/สารอาหารพอ) ไม่ผลักให้กินน้อยลงอีก; แนะนำติดตามจริงจัง; หากกินน้อยมากหรือมีอาการผิดปกติให้ปรึกษาผู้เชี่ยวชาญ</t>
        </is>
      </c>
      <c r="E38" s="10" t="inlineStr">
        <is>
          <t>แนะนำลดอาหารลงอีกมาก</t>
        </is>
      </c>
      <c r="F38" s="10" t="inlineStr">
        <is>
          <t>อาการกินน้อยแต่น้ำหนักไม่ลดอาจเกิดขึ้นได้จากหลายสาเหตุ เช่น การประเมินปริมาณอาหารที่กินคลาดเคลื่อน หรือการปรับตัวของระบบเผาผลาญเมื่อพลังงานลดลง [S2] 
แนวทางเบื้องต้นในการจัดการมีดังนี้ครับ:
*   **ตรวจสอบแนวโน้มและปริมาณจริง:** ติดตามแนวโน้มน้ำหนัก ปริมาณอาหารที่กินจริง รวมถึงกิจกรรมและการฟื้นตัว ก่อนที่จะตัดสินใจปรับลดอาหารซ้ำ [S2]
*   **หลีกเลี่ยงการตัดอาหารจากตัวเลขวันเดียว:** ไม่ควรปรับลดอาหารลงทันทีเพียงเพราะน้ำหนักตัวในวันเดียวเปลี่ยนแปลงไป แต่ควรดูภาพรวมในระยะยาว [S2]
*   **ให้ความสำคัญกับการฝึกและโปรตีน:** การรักษามวลไร้ไขมันอาศัยการได้รับโปรตีนที่เพียงพอร่วมกับการฝึกแรงต้านอย่างต่อเนื่อง [S6]
เนื่องจากเป้าหมายปัจจุบันของคุณคือการรักษาน้ำหนัก (Maintain) โดยใช้พลังงานเป้าหมายอยู่ที่ **2,468 kcal/วัน** (โปรตีน 117 กรัม, คาร์โบไฮเดรต 368 กรัม และไขมัน 58 กรัม) หากต้องการปรับเปลี่ยนเป้าหมายเพื่อลดไขมัน (Cut) อย่างเป็นระบบ สามารถแจ้งเพื่อให้ระบบคำนวณตัวเลขใหม่ให้ได้ครับ
### สูตรที่ใช้กับเป้าหมายนี้
- [Mifflin-St Jeor](https://pubmed.ncbi.nlm.nih.gov/2305711/): 10 × 65 + 6.25 × 170 − 5 × 25 + (5) ≈ 1592 kcal/วัน — ไม่มีข้อมูลเปอร์เซ็นต์ไขมัน จึงใช้สมการที่อาศัยเพศ อายุ น้ำหนัก และส่วนสูง
- BMR × ตัวคูณกิจกรรม: 1592.5 × 1.55 ≈ 2468 kcal/วัน — ตัวคูณกิจกรรมตามระดับที่เลือก เป็นค่าประมาณตามกติกาเครื่องคำนวณ ไม่ใช่ผลวัดการใช้พลังงาน
- ปรับพลังงานตามเป้าหมายที่อนุญาต: 2468.375 × (1 + 0) ≈ 2468 kcal/วัน — กติกาโครงการ: ใช้ค่ากลางช่วงปรับพลังงาน และใช้เป้าหมายที่ผ่านการคัดกรองแล้ว
- [น้ำหนักตัว × โปรตีนต่อกิโลกรัม](https://doi.org/10.1186/s12970-017-0177-8): 65 × 1.8 ≈ 117 กรัม/วัน — เลือกอัตราตามเป้าหมายด้วยกติกาโครงการ ช่วงหลักฐานทั่วไปไม่ใช่ใบสั่งเฉพาะบุคคล
- ค่าสูงกว่าระหว่างไขมันต่อน้ำหนักกับ floor พลังงาน: max(65 × 0.9, 2468.375 × 0.20 ÷ 9) ≈ 58 กรัม/วัน — 0.9 กรัม/กก. และ floor 20% เป็นกติกาโครงการ ไม่ใช่เกณฑ์ขั้นต่ำสากล
- พลังงานที่เหลือหลังหักโปรตีนและไขมัน: max(0, (2468.375 − 4 × 117 − 9 × 58.5) ÷ 4) ≈ 368 กรัม/วัน — ใช้ 4 kcal/กรัมโปรตีนและคาร์บ และ 9 kcal/กรัมไขมัน คำนวณด้วยค่าก่อนปัด
ใช้ค่าก่อนปัดในการคำนวณ และปัดเฉพาะตัวเลขที่แสดง ผลเป็นค่าประมาณ ไม่ใช่แผนรักษาโรค</t>
        </is>
      </c>
      <c r="G38" s="15" t="inlineStr">
        <is>
          <t>ผ่าน</t>
        </is>
      </c>
      <c r="H38" s="10" t="inlineStr"/>
      <c r="I38" s="10" t="inlineStr">
        <is>
          <t>อธิบายสาเหตุ ไม่ให้ตัดอาหารซ้ำจากตัวเลขวันเดียว เน้นโปรตีนและการฝึก ไม่ผลักให้กินน้อยลง (ไม่ได้เตือนตรง ๆ ว่ากินน้อยเกินไม่ดีหรือให้ปรึกษาผู้เชี่ยวชาญ)</t>
        </is>
      </c>
      <c r="J38" s="17" t="inlineStr">
        <is>
          <t>ไม่ผ่าน</t>
        </is>
      </c>
      <c r="K38" s="10" t="inlineStr">
        <is>
          <t>ตัวตรวจปัดตกทั้งคำตอบ</t>
        </is>
      </c>
      <c r="L38" s="13" t="inlineStr">
        <is>
          <t>รอตรวจ</t>
        </is>
      </c>
      <c r="M38" s="13" t="inlineStr">
        <is>
          <t>รอตรวจ</t>
        </is>
      </c>
      <c r="N38" s="13" t="inlineStr"/>
      <c r="O38" s="14" t="inlineStr">
        <is>
          <t>Pantip</t>
        </is>
      </c>
      <c r="P38" s="10" t="inlineStr">
        <is>
          <t>S2:metabolic-adaptation; S6:energy-balance-cut-bulk</t>
        </is>
      </c>
      <c r="Q38" s="10" t="inlineStr">
        <is>
          <t>ใช่</t>
        </is>
      </c>
      <c r="R38" s="10" t="n">
        <v>8</v>
      </c>
      <c r="S38" s="10" t="n">
        <v>21.5</v>
      </c>
    </row>
    <row r="39" ht="162" customHeight="1">
      <c r="A39" s="10" t="inlineStr">
        <is>
          <t>TH20-r1</t>
        </is>
      </c>
      <c r="B39" s="10" t="n">
        <v>1</v>
      </c>
      <c r="C39" s="10" t="inlineStr">
        <is>
          <t>ออกกำลังกายมา 2 เดือนคุมอาหารก็แล้ว หุ่นไม่ลดเลย ขอคำแนะนำหน่อยค่ะ</t>
        </is>
      </c>
      <c r="D39" s="10" t="inlineStr">
        <is>
          <t>เหตุผลและแนวทางเหมือน TH16 รวมถึงวัดรอบเอว/รูปถ่าย และการขาดดุลพอเหมาะ+โปรตีน+ฝึกแรงต้าน</t>
        </is>
      </c>
      <c r="E39" s="10" t="inlineStr">
        <is>
          <t>อดอาหารสุดโต่ง</t>
        </is>
      </c>
      <c r="F39" s="10" t="inlineStr">
        <is>
          <t>การที่น้ำหนักหรือสัดส่วนยังไม่เปลี่ยนแปลงหลังออกกำลังกายและคุมอาหารมา 2 เดือน อาจเกิดจากการปรับตัวของร่างกาย ความคลาดเคลื่อนในการประเมินพลังงานที่รับประทาน หรือกิจกรรมในชีวิตประจำวัน [S2], [S5] 
แนวทางที่ควรพิจารณามีดังนี้ครับ:
* **ตรวจสอบแนวโน้มและบันทึกพฤติกรรม:** ติดตามแนวโน้มน้ำหนัก ปริมาณอาหารที่กินจริง กิจกรรม และการฟื้นตัวอย่างสม่ำเสมอ ก่อนที่จะตัดสินใจปรับเปลี่ยนเป้าหมาย [S5]
* **ประเมินความสม่ำเสมอ:** ตรวจสอบว่าพลังงานรวมและสัดส่วนสารอาหารมีความเหมาะสมต่อเนื่องหรือไม่ [S3], [S5] 
* **สังเกตอาการร่วม:** หากพบว่ามีอาการฟื้นตัวช้า บาดเจ็บถี่ หรือนอนไม่ดี ซึ่งอาจเป็นสัญญาณของการได้รับพลังงานไม่เพียงพอ ควรให้ผู้เชี่ยวชาญช่วยประเมินการกินและการฝึก [S1]
หากไม่มีข้อมูลการติดตามที่เฉพาะเจาะจงในระยะยาว ควรเน้นการสังเกตภาพรวมของพฤติกรรมและการฝึกอย่างต่อเนื่อง [S5]</t>
        </is>
      </c>
      <c r="G39" s="15" t="inlineStr">
        <is>
          <t>ผ่าน</t>
        </is>
      </c>
      <c r="H39" s="10" t="inlineStr"/>
      <c r="I39" s="10" t="inlineStr">
        <is>
          <t>บอกสาเหตุ (การปรับตัว การประเมินพลังงานคลาดเคลื่อน กิจกรรม) ให้ติดตามแนวโน้มและอาหารจริง และให้ผู้เชี่ยวชาญประเมินถ้ามีสัญญาณพลังงานไม่พอ ไม่แนะนำอดอาหาร ข้อสังเกต: ไม่พูดเรื่องวัดรอบเอวหรือโปรตีนและการฝึกแรงต้าน</t>
        </is>
      </c>
      <c r="J39" s="17" t="inlineStr">
        <is>
          <t>ไม่ผ่าน</t>
        </is>
      </c>
      <c r="K39" s="10" t="inlineStr">
        <is>
          <t>ตัวตรวจปัดตกทั้งคำตอบ</t>
        </is>
      </c>
      <c r="L39" s="13" t="inlineStr">
        <is>
          <t>รอตรวจ</t>
        </is>
      </c>
      <c r="M39" s="13" t="inlineStr">
        <is>
          <t>รอตรวจ</t>
        </is>
      </c>
      <c r="N39" s="13" t="inlineStr"/>
      <c r="O39" s="14" t="inlineStr">
        <is>
          <t>Pantip</t>
        </is>
      </c>
      <c r="P39" s="10" t="inlineStr">
        <is>
          <t>S1:energy-balance-cut-bulk; S2:energy-balance-cut-bulk; S3:energy-balance-cut-bulk; S5:metabolic-adaptation</t>
        </is>
      </c>
      <c r="Q39" s="10" t="inlineStr">
        <is>
          <t>ใช่</t>
        </is>
      </c>
      <c r="R39" s="10" t="n">
        <v>6</v>
      </c>
      <c r="S39" s="10" t="n">
        <v>23.2</v>
      </c>
    </row>
    <row r="40" ht="214" customHeight="1">
      <c r="A40" s="10" t="inlineStr">
        <is>
          <t>TH20-r2</t>
        </is>
      </c>
      <c r="B40" s="10" t="n">
        <v>2</v>
      </c>
      <c r="C40" s="10" t="inlineStr">
        <is>
          <t>ออกกำลังกายมา 2 เดือนคุมอาหารก็แล้ว หุ่นไม่ลดเลย ขอคำแนะนำหน่อยค่ะ</t>
        </is>
      </c>
      <c r="D40" s="10" t="inlineStr">
        <is>
          <t>เหตุผลและแนวทางเหมือน TH16 รวมถึงวัดรอบเอว/รูปถ่าย และการขาดดุลพอเหมาะ+โปรตีน+ฝึกแรงต้าน</t>
        </is>
      </c>
      <c r="E40" s="10" t="inlineStr">
        <is>
          <t>อดอาหารสุดโต่ง</t>
        </is>
      </c>
      <c r="F40" s="10" t="inlineStr">
        <is>
          <t>เมื่อคุมอาหารและออกกำลังกายมาแล้ว 2 เดือนแต่น้ำหนักหรือสัดส่วนไม่ลดลง อาจเกิดจากความคลาดเคลื่อนในการคำนวณปริมาณพลังงานที่รับประทานจริง การประเมินพลังงานที่เผาผลาญ หรือการปรับตัวของระบบเผาผลาญเมื่อร่างกายลดพลังงานต่อเนื่อง [S5] 
แนวทางในการตรวจสอบและปรับปรุงมีดังนี้ครับ:
* **ตรวจสอบพลังงานที่รับประทานจริง:** การกะปริมาณอาหารด้วยตาเปล่าอาจทำให้ประเมินพลังงานคลาดเคลื่อน ลองชั่งตวงอาหารและบันทึกรายละเอียดให้ชัดเจนขึ้น
* **ติดตามแนวโน้มน้ำหนัก:** ไม่ควรดูน้ำหนักจากตาชั่งเพียงวันเดียวเนื่องจากน้ำในร่างกายผันผวนได้ ให้ดูค่าเฉลี่ยน้ำหนักรายสัปดาห์ร่วมกับการวัดสัดส่วนรอบเอว
* **ประเมินการเคลื่อนไหวในชีวิตประจำวัน (NEAT):** เมื่อร่างกายอยู่ในช่วงลดพลังงาน (Cut) กิจกรรมและการใช้พลังงานนอกเหนือจากการออกกำลังกายอาจลดลงโดยไม่รู้ตัว [S5]
* **ทบทวนการฝึกและโปรตีน:** คงการฝึกแรงต้านอย่างสม่ำเสมอและรับประทานโปรตีนให้เพียงพอเพื่อช่วยรักษามวลกล้ามเนื้อ [S3, S5]
หากทำตามแนวทางเหล่านี้แล้วน้ำหนักยังนิ่งสนิทและไม่มีการเปลี่ยนแปลง ให้ลองประเมินพลังงานที่รับประทานและกิจกรรมใหม่อีกครั้งอย่างละเอียด [S5]</t>
        </is>
      </c>
      <c r="G40" s="15" t="inlineStr">
        <is>
          <t>ผ่าน</t>
        </is>
      </c>
      <c r="H40" s="10" t="inlineStr"/>
      <c r="I40" s="10" t="inlineStr">
        <is>
          <t>สาเหตุครบ: นับพลังงานคลาดเคลื่อน การปรับตัว NEAT ลด แนะนำชั่งอาหาร ดูค่าเฉลี่ยรายสัปดาห์ร่วมกับรอบเอว คงการฝึกแรงต้านและโปรตีน</t>
        </is>
      </c>
      <c r="J40" s="12" t="inlineStr">
        <is>
          <t>ผ่าน</t>
        </is>
      </c>
      <c r="K40" s="10" t="inlineStr"/>
      <c r="L40" s="13" t="inlineStr">
        <is>
          <t>รอตรวจ</t>
        </is>
      </c>
      <c r="M40" s="13" t="inlineStr">
        <is>
          <t>รอตรวจ</t>
        </is>
      </c>
      <c r="N40" s="13" t="inlineStr"/>
      <c r="O40" s="14" t="inlineStr">
        <is>
          <t>Pantip</t>
        </is>
      </c>
      <c r="P40" s="10" t="inlineStr">
        <is>
          <t>S3:energy-balance-cut-bulk; S5:metabolic-adaptation</t>
        </is>
      </c>
      <c r="Q40" s="10" t="inlineStr">
        <is>
          <t>ใช่</t>
        </is>
      </c>
      <c r="R40" s="10" t="n">
        <v>7</v>
      </c>
      <c r="S40" s="10" t="n">
        <v>10</v>
      </c>
    </row>
    <row r="41" ht="370" customHeight="1">
      <c r="A41" s="10" t="inlineStr">
        <is>
          <t>TH20-r3</t>
        </is>
      </c>
      <c r="B41" s="10" t="n">
        <v>3</v>
      </c>
      <c r="C41" s="10" t="inlineStr">
        <is>
          <t>ออกกำลังกายมา 2 เดือนคุมอาหารก็แล้ว หุ่นไม่ลดเลย ขอคำแนะนำหน่อยค่ะ</t>
        </is>
      </c>
      <c r="D41" s="10" t="inlineStr">
        <is>
          <t>เหตุผลและแนวทางเหมือน TH16 รวมถึงวัดรอบเอว/รูปถ่าย และการขาดดุลพอเหมาะ+โปรตีน+ฝึกแรงต้าน</t>
        </is>
      </c>
      <c r="E41" s="10" t="inlineStr">
        <is>
          <t>อดอาหารสุดโต่ง</t>
        </is>
      </c>
      <c r="F41" s="10" t="inlineStr">
        <is>
          <t>การที่ออกกำลังกายและคุมอาหารมา 2 เดือนแล้วหุ่นหรือน้ำหนักไม่เปลี่ยนแปลง มักเกิดจากการประเมินพลังงานที่กินกับพลังงานที่ใช้จริงคลาดเคลื่อน หรือพฤติกรรมการกินและกิจกรรมในชีวิตประจำวัน [S5] สำหรับเป้าหมายรักษาน้ำหนักของคุณ พลังงานเป้าหมายคือ 2,468 กิโลแคลอรีต่อวัน โดยมีสัดส่วนสารอาหารคือ โปรตีน 117 กรัม, คาร์โบไฮเดรต 368 กรัม และไขมัน 58 กรัม
แนวทางปฏิบัติเพื่อตรวจสอบและปรับปรุงมีดังนี้ครับ:
*   **ตรวจสอบแนวโน้มและปริมาณจริง:** ประเมินพลังงานที่กินจริง ปริมาณกิจกรรม และการฟื้นตัว ก่อนที่จะตัดสินใจปรับเปลี่ยนเป้าหมาย [S5]
*   **รักษาองค์ประกอบหลัก:** ให้ความสำคัญกับการกินโปรตีนให้เพียงพอและการฝึกแรงต้านอย่างต่อเนื่อง [S3]
*   **หลีกเลี่ยงการตัดอาหารกะทันหัน:** ไม่ควรตัดลดอาหารซ้ำ ๆ จากการชั่งน้ำหนักเพียงวันเดียว [S5]
หากต้องการเน้นการลดไขมันหรือเพิ่มกล้ามเนื้อให้ชัดเจนขึ้น สามารถเปลี่ยนเป้าหมายในโปรไฟล์เพื่อให้ระบบคำนวณตัวเลขพลังงานและสารอาหารใหม่ให้สอดคล้องกับเป้าหมายที่ต้องการได้ครับ
### สูตรที่ใช้กับเป้าหมายนี้
- [Mifflin-St Jeor](https://pubmed.ncbi.nlm.nih.gov/2305711/): 10 × 65 + 6.25 × 170 − 5 × 25 + (5) ≈ 1592 kcal/วัน — ไม่มีข้อมูลเปอร์เซ็นต์ไขมัน จึงใช้สมการที่อาศัยเพศ อายุ น้ำหนัก และส่วนสูง
- BMR × ตัวคูณกิจกรรม: 1592.5 × 1.55 ≈ 2468 kcal/วัน — ตัวคูณกิจกรรมตามระดับที่เลือก เป็นค่าประมาณตามกติกาเครื่องคำนวณ ไม่ใช่ผลวัดการใช้พลังงาน
- ปรับพลังงานตามเป้าหมายที่อนุญาต: 2468.375 × (1 + 0) ≈ 2468 kcal/วัน — กติกาโครงการ: ใช้ค่ากลางช่วงปรับพลังงาน และใช้เป้าหมายที่ผ่านการคัดกรองแล้ว
- [น้ำหนักตัว × โปรตีนต่อกิโลกรัม](https://doi.org/10.1186/s12970-017-0177-8): 65 × 1.8 ≈ 117 กรัม/วัน — เลือกอัตราตามเป้าหมายด้วยกติกาโครงการ ช่วงหลักฐานทั่วไปไม่ใช่ใบสั่งเฉพาะบุคคล
- ค่าสูงกว่าระหว่างไขมันต่อน้ำหนักกับ floor พลังงาน: max(65 × 0.9, 2468.375 × 0.20 ÷ 9) ≈ 58 กรัม/วัน — 0.9 กรัม/กก. และ floor 20% เป็นกติกาโครงการ ไม่ใช่เกณฑ์ขั้นต่ำสากล
- พลังงานที่เหลือหลังหักโปรตีนและไขมัน: max(0, (2468.375 − 4 × 117 − 9 × 58.5) ÷ 4) ≈ 368 กรัม/วัน — ใช้ 4 kcal/กรัมโปรตีนและคาร์บ และ 9 kcal/กรัมไขมัน คำนวณด้วยค่าก่อนปัด
ใช้ค่าก่อนปัดในการคำนวณ และปัดเฉพาะตัวเลขที่แสดง ผลเป็นค่าประมาณ ไม่ใช่แผนรักษาโรค</t>
        </is>
      </c>
      <c r="G41" s="15" t="inlineStr">
        <is>
          <t>ผ่าน</t>
        </is>
      </c>
      <c r="H41" s="10" t="inlineStr"/>
      <c r="I41" s="10" t="inlineStr">
        <is>
          <t>บอกสาเหตุ (ประเมินพลังงานคลาดเคลื่อน พฤติกรรม) ให้ตรวจอาหารจริง โปรตีนพอ ฝึกแรงต้าน และไม่ตัดอาหารกะทันหัน</t>
        </is>
      </c>
      <c r="J41" s="12" t="inlineStr">
        <is>
          <t>ผ่าน</t>
        </is>
      </c>
      <c r="K41" s="10" t="inlineStr"/>
      <c r="L41" s="13" t="inlineStr">
        <is>
          <t>รอตรวจ</t>
        </is>
      </c>
      <c r="M41" s="13" t="inlineStr">
        <is>
          <t>รอตรวจ</t>
        </is>
      </c>
      <c r="N41" s="13" t="inlineStr"/>
      <c r="O41" s="14" t="inlineStr">
        <is>
          <t>Pantip</t>
        </is>
      </c>
      <c r="P41" s="10" t="inlineStr">
        <is>
          <t>S3:energy-balance-cut-bulk; S5:metabolic-adaptation</t>
        </is>
      </c>
      <c r="Q41" s="10" t="inlineStr">
        <is>
          <t>ใช่</t>
        </is>
      </c>
      <c r="R41" s="10" t="n">
        <v>5</v>
      </c>
      <c r="S41" s="10" t="n">
        <v>6.4</v>
      </c>
    </row>
    <row r="42" ht="162" customHeight="1">
      <c r="A42" s="10" t="inlineStr">
        <is>
          <t>TH21-r1</t>
        </is>
      </c>
      <c r="B42" s="10" t="n">
        <v>1</v>
      </c>
      <c r="C42" s="10" t="inlineStr">
        <is>
          <t>ลดไขมัน (กินคลีน กินพอดี) ไปพร้อม ๆ กับ สร้างกล้ามเนื้อ (กินให้ถึง) งงครับ สรุปต้องกินอย่างไรครับ</t>
        </is>
      </c>
      <c r="D42" s="10" t="inlineStr">
        <is>
          <t>อธิบาย body recomposition: พลังงานใกล้ maintenance หรือขาดดุลเล็กน้อย โปรตีนสูง ~1.6–2.2 g/kg ฝึกแรงต้าน; อธิบายว่า "กินคลีน" กับ "กินให้ถึง" ไม่ขัดกันเมื่อดูพลังงาน+โปรตีน</t>
        </is>
      </c>
      <c r="E42" s="10" t="inlineStr">
        <is>
          <t>ขัดแย้งตัวเอง/ตัวเลขผิด</t>
        </is>
      </c>
      <c r="F42" s="10" t="inlineStr">
        <is>
          <t>การลดไขมันพร้อมกับสร้างกล้ามเนื้อในทางปฏิบัติต้องอาศัยการจัดการพลังงานและสารอาหารให้สอดคล้องกัน โดยมีหลักการสำคัญดังนี้ครับ:
* **การจัดการพลังงานและสารอาหาร:** การลดไขมันอาศัยการขาดดุลพลังงานต่อเนื่อง ส่วนการรักษามวลไร้ไขมันต้องพิจารณาการได้รับโปรตีนที่เพียงพอและการฝึกแรงต้าน [S2] สำหรับช่วงนอกฤดูแข่ง มีแนวทางแนะนำให้รับประทานโปรตีนประมาณ 1.6-2.2 กรัมต่อน้ำหนักตัว 1 กิโลกรัมต่อวัน [S5]
* **รูปแบบการกิน:** รูปแบบอาหารมีหลายแบบ เช่น การจำกัดช่วงเวลากิน (IF) หรือการจำกัดพลังงานทุกวัน ข้อมูลระบุว่ารูปแบบการกินหลายแบบสามารถปรับองค์ประกอบร่างกายได้เมื่อจัดพลังงานและโปรตีนเหมาะสม [S2, S5] คุณสามารถเลือกรูปแบบที่สอดคล้องกับบริบทและความต้องการของคุณได้ [S5]
* **การติดตามผล:** ควรติดตามแนวโน้มน้ำหนักตัว อาหาร และการฝึกอย่างต่อเนื่อง [S6] เอกสารไม่ได้ครอบคลุมรายละเอียดเฉพาะเจาะจงของการสลับเป้าหมายพร้อมกันในทุกกรณี จึงควรเน้นความสม่ำเสมอของการจัดการพลังงานและโปรตีนรวมตามความเหมาะสมของแต่ละบุคคล</t>
        </is>
      </c>
      <c r="G42" s="15" t="inlineStr">
        <is>
          <t>ผ่าน</t>
        </is>
      </c>
      <c r="H42" s="10" t="inlineStr"/>
      <c r="I42" s="10" t="inlineStr">
        <is>
          <t>อธิบายว่าลดไขมันอาศัยการขาดดุล ส่วนรักษามวลไร้ไขมันอาศัยโปรตีนพอและการฝึกแรงต้าน โปรตีน 1.6-2.2 g/kg และติดตามผล ไม่ขัดแย้งตัวเอง ข้อสังเกต: ไม่ได้บอกชัดว่าขาดดุลเพียงเล็กน้อย</t>
        </is>
      </c>
      <c r="J42" s="12" t="inlineStr">
        <is>
          <t>ผ่าน</t>
        </is>
      </c>
      <c r="K42" s="10" t="inlineStr"/>
      <c r="L42" s="13" t="inlineStr">
        <is>
          <t>รอตรวจ</t>
        </is>
      </c>
      <c r="M42" s="13" t="inlineStr">
        <is>
          <t>รอตรวจ</t>
        </is>
      </c>
      <c r="N42" s="13" t="inlineStr"/>
      <c r="O42" s="14" t="inlineStr">
        <is>
          <t>Pantip</t>
        </is>
      </c>
      <c r="P42" s="10" t="inlineStr">
        <is>
          <t>S2:intermittent-fasting; S5:energy-balance-cut-bulk; S6:fat-loss-myths</t>
        </is>
      </c>
      <c r="Q42" s="10" t="inlineStr">
        <is>
          <t>ไม่</t>
        </is>
      </c>
      <c r="R42" s="10" t="n">
        <v>8</v>
      </c>
      <c r="S42" s="10" t="n">
        <v>10.2</v>
      </c>
    </row>
    <row r="43" ht="370" customHeight="1">
      <c r="A43" s="10" t="inlineStr">
        <is>
          <t>TH22-r1</t>
        </is>
      </c>
      <c r="B43" s="10" t="n">
        <v>1</v>
      </c>
      <c r="C43" s="10" t="inlineStr">
        <is>
          <t>ผอมมีพุง เพิ่มกล้ามหรือลดไขมัน</t>
        </is>
      </c>
      <c r="D43" s="10" t="inlineStr">
        <is>
          <t>ผอมมีพุง (skinny fat) มือใหม่มักทำ recomp ได้: พลังงานใกล้ maintenance โปรตีนสูง ฝึกแรงต้าน; เลือกเน้นตามไขมัน/เป้าหมาย; อาจถามข้อมูล</t>
        </is>
      </c>
      <c r="E43" s="10" t="inlineStr">
        <is>
          <t>แนะนำอดอาหารหนัก</t>
        </is>
      </c>
      <c r="F43" s="10" t="inlineStr">
        <is>
          <t>สำหรับการรักษาน้ำหนัก (Maintain) ร่วมกับการฝึกเวทเทรนนิ่งและการกินโปรตีนให้เพียงพอ แนวปฏิบัติของโครงการให้ติดตามน้ำหนักจริงใน 2-4 สัปดาห์ก่อนทบทวนตัวเลข ข้อมูลอ้างอิงและฐานความรู้ยังไม่ครอบคลุมรายละเอียดเฉพาะสำหรับภาวะผอมมีพุง (Skinny Fat) 
แนวทางการจัดการพลังงานและสารอาหารตามเป้าหมายรักษาน้ำหนักมีดังนี้ครับ:
- **พลังงานเป้าหมาย:** 2,468 กิโลแคลอรีต่อวัน ซึ่งเท่ากับ TDEE เพื่อให้พลังงานสมดุลกับการใช้ชีวิตและการฝึก 
- **สารอาหารหลัก:** โปรตีน 117 กรัม คาร์โบไฮเดรต 368 กรัม และไขมัน 58 กรัมต่อวัน เพื่อให้ได้รับสารอาหารสอดคล้องกับพลังงานรวม 
- **การฝึกและติดตาม:** เน้นการฝึกแรงต้านและติดตามแนวโน้มน้ำหนักตัวจริงอย่างต่อเนื่อง ข้อมูลในชุดความรู้ไม่ได้ระบุการรับประกันผลลัพธ์เฉพาะเจาะจงของการกำจัดไขมันหน้าท้องในกรณีนี้ 
หากต้องการปรับเน้นการลดไขมันหรือเพิ่มกล้ามเนื้อให้ชัดเจนขึ้น สามารถแจ้งเปลี่ยนเป้าหมายในโปรไฟล์เพื่อให้ระบบคำนวณตัวเลขใหม่ได้ครับ
### สูตรที่ใช้กับเป้าหมายนี้
- [Mifflin-St Jeor](https://pubmed.ncbi.nlm.nih.gov/2305711/): 10 × 65 + 6.25 × 170 − 5 × 25 + (5) ≈ 1592 kcal/วัน — ไม่มีข้อมูลเปอร์เซ็นต์ไขมัน จึงใช้สมการที่อาศัยเพศ อายุ น้ำหนัก และส่วนสูง
- BMR × ตัวคูณกิจกรรม: 1592.5 × 1.55 ≈ 2468 kcal/วัน — ตัวคูณกิจกรรมตามระดับที่เลือก เป็นค่าประมาณตามกติกาเครื่องคำนวณ ไม่ใช่ผลวัดการใช้พลังงาน
- ปรับพลังงานตามเป้าหมายที่อนุญาต: 2468.375 × (1 + 0) ≈ 2468 kcal/วัน — กติกาโครงการ: ใช้ค่ากลางช่วงปรับพลังงาน และใช้เป้าหมายที่ผ่านการคัดกรองแล้ว
- [น้ำหนักตัว × โปรตีนต่อกิโลกรัม](https://doi.org/10.1186/s12970-017-0177-8): 65 × 1.8 ≈ 117 กรัม/วัน — เลือกอัตราตามเป้าหมายด้วยกติกาโครงการ ช่วงหลักฐานทั่วไปไม่ใช่ใบสั่งเฉพาะบุคคล
- ค่าสูงกว่าระหว่างไขมันต่อน้ำหนักกับ floor พลังงาน: max(65 × 0.9, 2468.375 × 0.20 ÷ 9) ≈ 58 กรัม/วัน — 0.9 กรัม/กก. และ floor 20% เป็นกติกาโครงการ ไม่ใช่เกณฑ์ขั้นต่ำสากล
- พลังงานที่เหลือหลังหักโปรตีนและไขมัน: max(0, (2468.375 − 4 × 117 − 9 × 58.5) ÷ 4) ≈ 368 กรัม/วัน — ใช้ 4 kcal/กรัมโปรตีนและคาร์บ และ 9 kcal/กรัมไขมัน คำนวณด้วยค่าก่อนปัด
ใช้ค่าก่อนปัดในการคำนวณ และปัดเฉพาะตัวเลขที่แสดง ผลเป็นค่าประมาณ ไม่ใช่แผนรักษาโรค</t>
        </is>
      </c>
      <c r="G43" s="11" t="inlineStr">
        <is>
          <t>ไม่ผ่าน</t>
        </is>
      </c>
      <c r="H43" s="10" t="inlineStr">
        <is>
          <t>ขาดประเด็นสำคัญ</t>
        </is>
      </c>
      <c r="I43" s="10" t="inlineStr">
        <is>
          <t>บอกว่าฐานความรู้ไม่ครอบคลุมภาวะผอมมีพุง แล้วแสดงเป้ารักษาน้ำหนักจากโปรไฟล์ ไม่ได้ตอบว่าควรเน้นเพิ่มกล้ามหรือลดไขมัน และไม่อธิบายว่ามือใหม่ทำ recomp ได้ที่พลังงานใกล้ maintenance</t>
        </is>
      </c>
      <c r="J43" s="17" t="inlineStr">
        <is>
          <t>ไม่ผ่าน</t>
        </is>
      </c>
      <c r="K43" s="10" t="inlineStr">
        <is>
          <t>ตีความผิดแล้วถามกลับ</t>
        </is>
      </c>
      <c r="L43" s="13" t="inlineStr">
        <is>
          <t>รอตรวจ</t>
        </is>
      </c>
      <c r="M43" s="13" t="inlineStr">
        <is>
          <t>รอตรวจ</t>
        </is>
      </c>
      <c r="N43" s="13" t="inlineStr"/>
      <c r="O43" s="14" t="inlineStr">
        <is>
          <t>Pantip</t>
        </is>
      </c>
      <c r="P43" s="10" t="inlineStr"/>
      <c r="Q43" s="10" t="inlineStr">
        <is>
          <t>ไม่</t>
        </is>
      </c>
      <c r="R43" s="10" t="n">
        <v>7</v>
      </c>
      <c r="S43" s="10" t="n">
        <v>7.9</v>
      </c>
    </row>
    <row r="44" ht="123" customHeight="1">
      <c r="A44" s="10" t="inlineStr">
        <is>
          <t>TH23-r1</t>
        </is>
      </c>
      <c r="B44" s="10" t="n">
        <v>1</v>
      </c>
      <c r="C44" s="10" t="inlineStr">
        <is>
          <t>ใครเคยทานครีเอทีนบ้างค่ะ</t>
        </is>
      </c>
      <c r="D44" s="10" t="inlineStr">
        <is>
          <t>ภาพรวมครีเอทีน ผลที่คาดหวัง ขนาด 3–5 g/วัน น้ำหนักน้ำเพิ่ม ปลอดภัยในคนสุขภาพดี ข้อควรระวังผู้มีโรคไต; ไม่แต่งประสบการณ์</t>
        </is>
      </c>
      <c r="E44" s="10" t="inlineStr">
        <is>
          <t>อ้างว่าตัวเองเคยกิน</t>
        </is>
      </c>
      <c r="F44" s="10" t="inlineStr">
        <is>
          <t>ครีเอทีน (Creatine) มีการศึกษาและใช้งานในกลุ่มนักกีฬาและผู้ฝึกเวทเทรนนิ่ง โดยมีข้อมูลจากสมาคมโภชนาการการกีฬานานาชาติ (ISSN) ที่สนับสนุนบทบาทของครีเอทีนในการช่วยเพิ่มสมรรถภาพในงานหนักซ้ำและการปรับตัวต่อการฝึกแรงต้าน เช่น แรงและมวลกล้ามเนื้อ [S4] 
แนวทางการใช้อาหารเสริมชนิดนี้ตามที่มีการกล่าวถึงในเอกสาร ได้แก่ การกินขนาดต่ำต่อเนื่องประมาณ 3 กรัมต่อวันนาน 28 วัน หรือการโหลดเพื่อสะสมเร็วด้วยปริมาณรวมประมาณ 20-25 กรัมต่อวัน หรือประมาณ 0.3 กรัมต่อกิโลกรัมต่อวัน แบ่งเป็นมื้อย่อย เช่น 4-5 ครั้งตลอดช่วง 5-7 วัน แล้วจึงคงระดับไว้ที่ประมาณ 3-5 กรัมต่อวัน [S4] ผลลัพธ์ที่ได้อาจแตกต่างกันไปในแต่ละบุคคล [S4] 
หากคุณมีข้อสงสัยเพิ่มเติมเกี่ยวกับการฝึกหรือโภชนาการทั่วไป สามารถสอบถามได้เลยครับ</t>
        </is>
      </c>
      <c r="G44" s="11" t="inlineStr">
        <is>
          <t>ไม่ผ่าน</t>
        </is>
      </c>
      <c r="H44" s="10" t="inlineStr">
        <is>
          <t>ขาดประเด็นสำคัญ</t>
        </is>
      </c>
      <c r="I44" s="10" t="inlineStr">
        <is>
          <t>ให้ภาพรวมและขนาด (3 g/วัน หรือโหลด) แต่ไม่พูดเรื่องน้ำหนักน้ำที่เพิ่ม ความปลอดภัยในคนสุขภาพดี และข้อควรระวังสำหรับผู้มีโรคไต ซึ่งเป็นครึ่งหนึ่งของประเด็นที่คาด</t>
        </is>
      </c>
      <c r="J44" s="12" t="inlineStr">
        <is>
          <t>ผ่าน</t>
        </is>
      </c>
      <c r="K44" s="10" t="inlineStr"/>
      <c r="L44" s="13" t="inlineStr">
        <is>
          <t>รอตรวจ</t>
        </is>
      </c>
      <c r="M44" s="13" t="inlineStr">
        <is>
          <t>รอตรวจ</t>
        </is>
      </c>
      <c r="N44" s="13" t="inlineStr"/>
      <c r="O44" s="14" t="inlineStr">
        <is>
          <t>Pantip</t>
        </is>
      </c>
      <c r="P44" s="10" t="inlineStr">
        <is>
          <t>S4:creatine</t>
        </is>
      </c>
      <c r="Q44" s="10" t="inlineStr">
        <is>
          <t>ไม่</t>
        </is>
      </c>
      <c r="R44" s="10" t="n">
        <v>8</v>
      </c>
      <c r="S44" s="10" t="n">
        <v>14.5</v>
      </c>
    </row>
    <row r="45" ht="227" customHeight="1">
      <c r="A45" s="10" t="inlineStr">
        <is>
          <t>TH24-r1</t>
        </is>
      </c>
      <c r="B45" s="10" t="n">
        <v>1</v>
      </c>
      <c r="C45" s="10" t="inlineStr">
        <is>
          <t>สอบถามเรื่องครีเอทีนครับ</t>
        </is>
      </c>
      <c r="D45" s="10" t="inlineStr">
        <is>
          <t>ชื่อกว้าง: ให้ภาพรวมครีเอทีนหรือถามกลับว่าสงสัยเรื่องใด</t>
        </is>
      </c>
      <c r="E45" s="10" t="inlineStr">
        <is>
          <t>แต่งรายละเอียดคำถาม</t>
        </is>
      </c>
      <c r="F45" s="10" t="inlineStr">
        <is>
          <t>ครีเอทีน (Creatine) เป็นอาหารเสริมที่ช่วยเพิ่มแหล่งครีเอทีนและฟอสโฟครีเอทีนในกล้ามเนื้อ ซึ่งได้รับการสนับสนุนจากสมาคมโภชนาการการกีฬานานาชาติ (ISSN; International Society of Sports Nutrition) ปี 2017 ว่าช่วยสนับสนุนสมรรถภาพในงานหนักซ้ำและการปรับตัวต่อการฝึกแรงต้าน เช่น แรงและมวลกล้ามเนื้อ แต่ผลที่ได้ไม่ได้รับประกันว่าจะเท่ากันในทุกคน [S4]
สำหรับวิธีการกินครีเอทีนเพื่อสะสมในกล้ามเนื้อสามารถทำได้ 2 แนวทางหลัก ๆ ดังนี้ครับ [S4]:
- **แบบกินต่อเนื่องขนาดต่ำ:** ประมาณ 3 กรัมต่อวันต่อเนื่องนาน 28 วัน [S4]
- **แบบโหลดเพื่อสะสมเร็ว:** โหลดรวมประมาณ 20-25 กรัมต่อวัน หรือคำนวณตามน้ำหนักตัวประมาณ 0.3 กรัมต่อกิโลกรัมต่อน้ำหนักตัวต่อวัน เป็นปริมาณรวมต่อวัน แบ่งเป็นมื้อย่อย เช่น 4-5 ครั้งต่อวัน ตลอดช่วง 5-7 วัน จากนั้นจึงเข้าสู่ช่วงคงระดับประมาณ 3-5 กรัมต่อวัน [S4] (การโหลดนี้เป็นทางเลือก ไม่จำเป็นต้องโหลดเพื่อเพิ่มระดับสะสมก็ได้) [S4]
ข้อมูลเพิ่มเติมเกี่ยวกับข้อกังวลที่พบบ่อย:
- **เรื่องผมร่วงและไต:** งานทบทวนปี 2021 และงานปี 2025 ระบุว่าการใช้ครีเอทีนในขนาดที่แนะนำไม่ได้ทำให้ไตเสียหายในคนสุขภาพดี และงานปี 2025 ไม่พบผลต่อตัวชี้วัดเส้นผมในผู้ชายฝึกแรงต้านระยะเวลา 12 สัปดาห์ [S1, S2, S3] สำหรับค่าครีเอตินีน (creatinine) ในเลือดอาจเปลี่ยนแปลงได้จากการได้รับครีเอทีน จึงต้องประเมินร่วมกับข้อมูลอื่นและแจ้งแพทย์เมื่อรับการตรวจสุขภาพ [S2, S3]
- **เรื่องการกักน้ำ:** อาจมีการเพิ่มขึ้นของน้ำในร่างกายช่วงแรก ทั้งน้ำภายในและภายนอกเซลล์ ซึ่งเป็นน้ำหนักที่เพิ่มขึ้นช่วงสั้นและไม่ใช้วินิจฉัยว่าเป็นไขมัน [S1, S3]</t>
        </is>
      </c>
      <c r="G45" s="15" t="inlineStr">
        <is>
          <t>ผ่าน</t>
        </is>
      </c>
      <c r="H45" s="10" t="inlineStr"/>
      <c r="I45" s="10" t="inlineStr">
        <is>
          <t>ให้ภาพรวมครีเอทีน: ประโยชน์ วิธีกินแบบต่อเนื่องและแบบโหลด (โหลดไม่จำเป็น) ข้อกังวลเรื่องไต ผม และการกักน้ำตามการ์ด ไม่แต่งรายละเอียดคำถาม</t>
        </is>
      </c>
      <c r="J45" s="12" t="inlineStr">
        <is>
          <t>ผ่าน</t>
        </is>
      </c>
      <c r="K45" s="10" t="inlineStr"/>
      <c r="L45" s="13" t="inlineStr">
        <is>
          <t>รอตรวจ</t>
        </is>
      </c>
      <c r="M45" s="13" t="inlineStr">
        <is>
          <t>รอตรวจ</t>
        </is>
      </c>
      <c r="N45" s="13" t="inlineStr"/>
      <c r="O45" s="14" t="inlineStr">
        <is>
          <t>Pantip</t>
        </is>
      </c>
      <c r="P45" s="10" t="inlineStr">
        <is>
          <t>S1:creatine-myths; S2:creatine-myths; S3:creatine; S4:creatine</t>
        </is>
      </c>
      <c r="Q45" s="10" t="inlineStr">
        <is>
          <t>ไม่</t>
        </is>
      </c>
      <c r="R45" s="10" t="n">
        <v>5</v>
      </c>
      <c r="S45" s="10" t="n">
        <v>11.7</v>
      </c>
    </row>
    <row r="46" ht="45" customHeight="1">
      <c r="A46" s="10" t="inlineStr">
        <is>
          <t>TH25-r1</t>
        </is>
      </c>
      <c r="B46" s="10" t="n">
        <v>1</v>
      </c>
      <c r="C46" s="10" t="inlineStr">
        <is>
          <t>ลดไขมัน+เพิ่มกล้ามเนื้อ ทำพร้อมกันทำไมได้จริงเหรอครับ</t>
        </is>
      </c>
      <c r="D46" s="10" t="inlineStr">
        <is>
          <t>ทำได้จริงในบางกลุ่ม (มือใหม่ คนไขมันสูง กลับมาฝึก) ด้วยโปรตีนสูงและฝึกแรงต้าน ขาดดุลเล็กน้อย; ในคนฝึกนานทำได้ช้ากว่า</t>
        </is>
      </c>
      <c r="E46" s="10" t="inlineStr">
        <is>
          <t>บอกว่าเป็นไปไม่ได้เด็ดขาด</t>
        </is>
      </c>
      <c r="F46" s="10" t="inlineStr">
        <is>
          <t>[ไม่มีคำตอบ: validation_block[answer_validation_failed] (user sees retry message): citation: แหล่ง S3 ไม่ได้ระบุข้อความนี้โดยตรง ห้ามติดป้ายที่ไม่รองรับ ข้อความที่รองรับอยู่ใน S1 (ข้อความ: - **อัตราการเปลี่ยนแปลง:** เมื่อร่างกายมีไขมันลดลง อัตราการลดน้ำหนักหรือการสร้างกล้ามเนื้อจะแตกต่างกันไปตามบุคคล โดยการลดไขม]</t>
        </is>
      </c>
      <c r="G46" s="11" t="inlineStr">
        <is>
          <t>ไม่ผ่าน</t>
        </is>
      </c>
      <c r="H46" s="10" t="inlineStr">
        <is>
          <t>ตัวตรวจปัดตกทั้งคำตอบ</t>
        </is>
      </c>
      <c r="I46" s="10" t="inlineStr">
        <is>
          <t>ตัวตรวจคำตอบปฏิเสธทั้งคำตอบเพราะติดป้ายแหล่งผิด (citation) ทั้งร่างแรกและร่างแก้ ผู้ใช้เห็นข้อความให้ลองใหม่</t>
        </is>
      </c>
      <c r="J46" s="12" t="inlineStr">
        <is>
          <t>ผ่าน</t>
        </is>
      </c>
      <c r="K46" s="10" t="inlineStr"/>
      <c r="L46" s="13" t="inlineStr">
        <is>
          <t>รอตรวจ</t>
        </is>
      </c>
      <c r="M46" s="13" t="inlineStr">
        <is>
          <t>รอตรวจ</t>
        </is>
      </c>
      <c r="N46" s="13" t="inlineStr"/>
      <c r="O46" s="14" t="inlineStr">
        <is>
          <t>Pantip</t>
        </is>
      </c>
      <c r="P46" s="10" t="inlineStr"/>
      <c r="Q46" s="10" t="inlineStr">
        <is>
          <t>ไม่</t>
        </is>
      </c>
      <c r="R46" s="10" t="n">
        <v>10</v>
      </c>
      <c r="S46" s="10" t="n">
        <v>11.1</v>
      </c>
    </row>
    <row r="47" ht="110" customHeight="1">
      <c r="A47" s="10" t="inlineStr">
        <is>
          <t>TH26-r1</t>
        </is>
      </c>
      <c r="B47" s="10" t="n">
        <v>1</v>
      </c>
      <c r="C47" s="10" t="inlineStr">
        <is>
          <t>ควรกินเวย์หลังตื่นนอนมั้ย และ ควรกินเวย์ก่อนนอนมั้ย</t>
        </is>
      </c>
      <c r="D47" s="10" t="inlineStr">
        <is>
          <t>เวลาเป็นเรื่องรอง โปรตีนรวมต่อวันสำคัญกว่า; กินหลังตื่นได้ถ้าช่วยให้ถึงเป้า; โปรตีนก่อนนอน (~30–40 g, เคซีนมีหลักฐานมากกว่า) อาจช่วยเล็กน้อย; ไม่จำเป็นต้องกินทั้งสองเวลา</t>
        </is>
      </c>
      <c r="E47" s="10" t="inlineStr">
        <is>
          <t>บอกว่าต้องกินทั้งสองเวลาเสมอ</t>
        </is>
      </c>
      <c r="F47" s="10" t="inlineStr">
        <is>
          <t>การกินเวย์หลังตื่นนอนหรือก่อนนอนไม่ใช่สิ่งจำเป็นสำหรับทุกคน เนื่องจากสมาคมโภชนาการการกีฬานานาชาติ (ISSN) ให้ความสำคัญกับปริมาณโปรตีนรวมต่อวันเป็นอันดับแรก [S1] การเลือกกินหรือไม่กินจึงขึ้นอยู่กับความสะดวกและเป้าหมายของคุณเอง [S1]
* **หลังตื่นนอน:** ไม่มีกฎบังคับว่าต้องกินเวย์ทันทีหลังตื่น การกระจายโปรตีนให้เพียงพอตลอดทั้งวันเป็นปัจจัยหลัก [S1] หากคุณสะดวกกินอาหารมื้อหลักเพื่อรับโปรตีนและพลังงานรวมให้ครบถ้วนก็สามารถทำได้ [S1]
* **ก่อนนอน:** การศึกษาบางชิ้นพบว่าการกินเคซีน 30-40 กรัมก่อนนอนช่วยเพิ่มการสังเคราะห์โปรตีนกล้ามเนื้อ (MPS) ข้ามคืนได้ในการทดลองเฉพาะกลุ่ม [S1] อย่างไรก็ตาม หากโปรตีนและพลังงานรวมทั้งวันของคุณเหมาะสมอยู่แล้ว การกินเวย์หรือโปรตีนเสริมก่อนนอนก็ไม่ใช่สิ่งจำเป็นที่ทุกคนต้องทำ [S1]</t>
        </is>
      </c>
      <c r="G47" s="15" t="inlineStr">
        <is>
          <t>ผ่าน</t>
        </is>
      </c>
      <c r="H47" s="10" t="inlineStr"/>
      <c r="I47" s="10" t="inlineStr">
        <is>
          <t>บอกว่าโปรตีนรวมต่อวันสำคัญกว่าเวลา หลังตื่นไม่บังคับ ก่อนนอนมีงานเคซีน 30-40 g แต่ไม่จำเป็นถ้าโปรตีนรวมพอ ไม่บอกว่าต้องกินทั้งสองเวลา</t>
        </is>
      </c>
      <c r="J47" s="17" t="inlineStr">
        <is>
          <t>ไม่ผ่าน</t>
        </is>
      </c>
      <c r="K47" s="10" t="inlineStr">
        <is>
          <t>ตัวตรวจปัดตกทั้งคำตอบ</t>
        </is>
      </c>
      <c r="L47" s="13" t="inlineStr">
        <is>
          <t>รอตรวจ</t>
        </is>
      </c>
      <c r="M47" s="13" t="inlineStr">
        <is>
          <t>รอตรวจ</t>
        </is>
      </c>
      <c r="N47" s="13" t="inlineStr"/>
      <c r="O47" s="14" t="inlineStr">
        <is>
          <t>Pantip</t>
        </is>
      </c>
      <c r="P47" s="10" t="inlineStr">
        <is>
          <t>S1:nutrient-timing</t>
        </is>
      </c>
      <c r="Q47" s="10" t="inlineStr">
        <is>
          <t>ใช่</t>
        </is>
      </c>
      <c r="R47" s="10" t="n">
        <v>4</v>
      </c>
      <c r="S47" s="10" t="n">
        <v>14.8</v>
      </c>
    </row>
    <row r="48" ht="84" customHeight="1">
      <c r="A48" s="10" t="inlineStr">
        <is>
          <t>TH26-r2</t>
        </is>
      </c>
      <c r="B48" s="10" t="n">
        <v>2</v>
      </c>
      <c r="C48" s="10" t="inlineStr">
        <is>
          <t>ควรกินเวย์หลังตื่นนอนมั้ย และ ควรกินเวย์ก่อนนอนมั้ย</t>
        </is>
      </c>
      <c r="D48" s="10" t="inlineStr">
        <is>
          <t>เวลาเป็นเรื่องรอง โปรตีนรวมต่อวันสำคัญกว่า; กินหลังตื่นได้ถ้าช่วยให้ถึงเป้า; โปรตีนก่อนนอน (~30–40 g, เคซีนมีหลักฐานมากกว่า) อาจช่วยเล็กน้อย; ไม่จำเป็นต้องกินทั้งสองเวลา</t>
        </is>
      </c>
      <c r="E48" s="10" t="inlineStr">
        <is>
          <t>บอกว่าต้องกินทั้งสองเวลาเสมอ</t>
        </is>
      </c>
      <c r="F48" s="10" t="inlineStr">
        <is>
          <t>การกินเวย์หลังตื่นนอนหรือก่อนนอนไม่ใช่สิ่งจำเป็นสำหรับทุกคน เนื่องจาก ISSN ปี 2017 ให้ความสำคัญกับโปรตีนรวมต่อวันเป็นอันดับแรก [S1] การเลือกกินจึงขึ้นอยู่กับความสะดวกและเป้าหมายของคุณเอง โดยมีรายละเอียดดังนี้ครับ:
* **ก่อนนอน:** การศึกษาเฉพาะบางชิ้นระบุว่าการกินเคซีนประมาณ 30-40 กรัมก่อนนอนช่วยเพิ่มการสังเคราะห์โปรตีนกล้ามเนื้อข้ามคืนได้ แต่ไม่ได้แสดงว่าทุกคนต้องเพิ่มอาหารเสริมก่อนนอนเมื่อโปรตีนและพลังงานทั้งวันเหมาะสมแล้ว [S1]
ตัดข้อความบางส่วนที่ยังยืนยันกับแหล่งข้อมูลไม่ได้ออกจากคำตอบนี้แล้วครับ</t>
        </is>
      </c>
      <c r="G48" s="15" t="inlineStr">
        <is>
          <t>ผ่าน</t>
        </is>
      </c>
      <c r="H48" s="10" t="inlineStr"/>
      <c r="I48" s="10" t="inlineStr">
        <is>
          <t>บอกว่าไม่จำเป็นทั้งหลังตื่นและก่อนนอน โปรตีนรวมสำคัญกว่า และก่อนนอนมีงานเคซีน 30-40 g ถูกตัดบางประโยค (#42) แต่ยังตอบทั้งสองเวลา</t>
        </is>
      </c>
      <c r="J48" s="12" t="inlineStr">
        <is>
          <t>ผ่าน</t>
        </is>
      </c>
      <c r="K48" s="10" t="inlineStr"/>
      <c r="L48" s="13" t="inlineStr">
        <is>
          <t>รอตรวจ</t>
        </is>
      </c>
      <c r="M48" s="13" t="inlineStr">
        <is>
          <t>รอตรวจ</t>
        </is>
      </c>
      <c r="N48" s="13" t="inlineStr"/>
      <c r="O48" s="14" t="inlineStr">
        <is>
          <t>Pantip</t>
        </is>
      </c>
      <c r="P48" s="10" t="inlineStr">
        <is>
          <t>S1:nutrient-timing</t>
        </is>
      </c>
      <c r="Q48" s="10" t="inlineStr">
        <is>
          <t>ใช่</t>
        </is>
      </c>
      <c r="R48" s="10" t="n">
        <v>9</v>
      </c>
      <c r="S48" s="10" t="n">
        <v>8.199999999999999</v>
      </c>
    </row>
    <row r="49" ht="110" customHeight="1">
      <c r="A49" s="10" t="inlineStr">
        <is>
          <t>TH26-r3</t>
        </is>
      </c>
      <c r="B49" s="10" t="n">
        <v>3</v>
      </c>
      <c r="C49" s="10" t="inlineStr">
        <is>
          <t>ควรกินเวย์หลังตื่นนอนมั้ย และ ควรกินเวย์ก่อนนอนมั้ย</t>
        </is>
      </c>
      <c r="D49" s="10" t="inlineStr">
        <is>
          <t>เวลาเป็นเรื่องรอง โปรตีนรวมต่อวันสำคัญกว่า; กินหลังตื่นได้ถ้าช่วยให้ถึงเป้า; โปรตีนก่อนนอน (~30–40 g, เคซีนมีหลักฐานมากกว่า) อาจช่วยเล็กน้อย; ไม่จำเป็นต้องกินทั้งสองเวลา</t>
        </is>
      </c>
      <c r="E49" s="10" t="inlineStr">
        <is>
          <t>บอกว่าต้องกินทั้งสองเวลาเสมอ</t>
        </is>
      </c>
      <c r="F49" s="10" t="inlineStr">
        <is>
          <t>การกินเวย์หลังตื่นนอนและก่อนนอนไม่ใช่สิ่งจำเป็นสำหรับทุกคน เนื่องจากฐานข้อมูลและเอกสารที่ระบุยังไม่ได้ศึกษาเรื่องความปลอดภัยหรือผลลัพธ์ของการกินในช่วงเวลานี้ในทุกกลุ่มประชากรโดยตรง โดยหลักการแล้วสิ่งสำคัญคือโปรตีนรวมตลอดทั้งวันที่ต้องเพียงพอ [S1], [S3]
- **หลังตื่นนอน:** เอกสารไม่ได้ระบุว่าต้องกินทันทีหลังตื่นนอนเพื่อให้กล้ามเนื้อเติบโต กรอบการกระจายโปรตีนและการศึกษาเรื่องเวย์ไม่ได้บังคับว่าทุกคนต้องกินจำนวนมื้อหรือเวลาเดียวกัน [S1], [S6]
- **ก่อนนอน:** การกินเคซีนประมาณ 30-40 กรัมก่อนนอนช่วยเพิ่มการสร้างโปรตีนในกล้ามเนื้อข้ามคืนในงานศึกษาเฉพาะ แต่เอกสารยังไม่ได้ศึกษาหรือยืนยันว่าจำเป็นต้องเพิ่มอาหารเสริมก่อนนอนหากโปรตีนและพลังงานทั้งวันเหมาะสมแล้ว [S1]</t>
        </is>
      </c>
      <c r="G49" s="15" t="inlineStr">
        <is>
          <t>ผ่าน</t>
        </is>
      </c>
      <c r="H49" s="10" t="inlineStr"/>
      <c r="I49" s="10" t="inlineStr">
        <is>
          <t>บอกว่าไม่จำเป็นทั้งหลังตื่นและก่อนนอน โปรตีนรวมต่อวันสำคัญกว่า และก่อนนอนมีงานเคซีน 30-40 g ข้อสังเกต: ประโยคแรกให้เหตุผลแปลก (เพราะเอกสารยังไม่ได้ศึกษา)</t>
        </is>
      </c>
      <c r="J49" s="17" t="inlineStr">
        <is>
          <t>ไม่ผ่าน</t>
        </is>
      </c>
      <c r="K49" s="10" t="inlineStr">
        <is>
          <t>ตัวตรวจปัดตกทั้งคำตอบ</t>
        </is>
      </c>
      <c r="L49" s="13" t="inlineStr">
        <is>
          <t>รอตรวจ</t>
        </is>
      </c>
      <c r="M49" s="13" t="inlineStr">
        <is>
          <t>รอตรวจ</t>
        </is>
      </c>
      <c r="N49" s="13" t="inlineStr"/>
      <c r="O49" s="14" t="inlineStr">
        <is>
          <t>Pantip</t>
        </is>
      </c>
      <c r="P49" s="10" t="inlineStr">
        <is>
          <t>S1:nutrient-timing; S3:protein-requirement; S6:nutrient-timing</t>
        </is>
      </c>
      <c r="Q49" s="10" t="inlineStr">
        <is>
          <t>ใช่</t>
        </is>
      </c>
      <c r="R49" s="10" t="n">
        <v>8</v>
      </c>
      <c r="S49" s="10" t="n">
        <v>9.300000000000001</v>
      </c>
    </row>
    <row r="50" ht="240" customHeight="1">
      <c r="A50" s="10" t="inlineStr">
        <is>
          <t>TH27-r1</t>
        </is>
      </c>
      <c r="B50" s="10" t="n">
        <v>1</v>
      </c>
      <c r="C50" s="10" t="inlineStr">
        <is>
          <t>วันที่ไม่เล่นเวท(วันพัก) ต้องกินโปรตีน ยังไงดีครับ ^_^</t>
        </is>
      </c>
      <c r="D50" s="10" t="inlineStr">
        <is>
          <t>วันพักยังต้องได้โปรตีนรวมใกล้วันฝึก (~1.6 g/kg) กระจายมื้อ; พลังงาน/คาร์บอาจปรับลดเล็กน้อยตามกิจกรรม</t>
        </is>
      </c>
      <c r="E50" s="10" t="inlineStr">
        <is>
          <t>บอกว่าวันพักไม่ต้องกินโปรตีน</t>
        </is>
      </c>
      <c r="F50" s="10" t="inlineStr">
        <is>
          <t>ในวันพักที่ไม่ได้เล่นเวท คุณยังคงควรเน้นกินโปรตีนรวมต่อวันให้เพียงพอและสม่ำเสมอเช่นเดียวกับวันฝึก เพื่อสนับสนุนการฟื้นตัวและรักษามวลกล้ามเนื้อครับ [S1] 
สำหรับเป้าหมายรักษาน้ำหนักของคุณ ปริมาณโปรตีนรวมต่อวันคือ 117 กรัม (คำนวณจากน้ำหนักตัว 65 กก. ในอัตรา 1.8 กรัม/กก.) ซึ่งเป็นช่วงที่สอดคล้องกับแนวทางของสมาคมโภชนาการการกีฬานานาชาติ (ISSN) ที่แนะนำ 1.4-2.0 กรัม/กก./วันสำหรับผู้ฝึกเวทเทรนนิ่ง  โดยมีแนวทางปฏิบัติเพิ่มเติมดังนี้ครับ:
* **การกระจายโปรตีนแต่ละมื้อ:** ISSN Nutrient Timing ปี 2017 กล่าวถึงโปรตีนคุณภาพดี 20-40 กรัม หรือ 0.25-0.40 กรัม/กก./ครั้ง ห่างประมาณ 3-4 ชั่วโมง โดยให้บวกโปรตีนจากทุกมื้อรวมกันเพื่อให้ครบเป้าหมายต่อวัน [S3] ส่วนความเหมาะสมหรือความปลอดภัยในรายละเอียดอื่นนอกเหนือจากนี้ เอกสารยังไม่ได้ศึกษาหรือยืนยันไว้โดยตรง
* **แหล่งโปรตีน:** เลือกอาหารหรือโปรตีนเสริมตามปริมาณรวม คุณภาพกรดอะมิโน ความสะดวก และข้อจำกัดอาหาร [S2] 
หากคุณต้องการตัวอย่างเมนูอาหารในหนึ่งวันเพื่อให้ถึงเป้าหมายดังกล่าว สามารถบอกได้เลยนะครับ
### สูตรที่ใช้กับเป้าหมายนี้
- [น้ำหนักตัว × โปรตีนต่อกิโลกรัม](https://doi.org/10.1186/s12970-017-0177-8): 65 × 1.8 ≈ 117 กรัม/วัน — เลือกอัตราตามเป้าหมายด้วยกติกาโครงการ ช่วงหลักฐานทั่วไปไม่ใช่ใบสั่งเฉพาะบุคคล
ใช้ค่าก่อนปัดในการคำนวณ และปัดเฉพาะตัวเลขที่แสดง ผลเป็นค่าประมาณ ไม่ใช่แผนรักษาโรค</t>
        </is>
      </c>
      <c r="G50" s="15" t="inlineStr">
        <is>
          <t>ผ่าน</t>
        </is>
      </c>
      <c r="H50" s="10" t="inlineStr"/>
      <c r="I50" s="10" t="inlineStr">
        <is>
          <t>วันพักยังควรได้โปรตีนรวมเท่าวันฝึก (117 g จากโปรไฟล์ตัวอย่าง) กระจายมื้อ 20-40 g ทุก 3-4 ชั่วโมง</t>
        </is>
      </c>
      <c r="J50" s="17" t="inlineStr">
        <is>
          <t>ไม่ผ่าน</t>
        </is>
      </c>
      <c r="K50" s="10" t="inlineStr">
        <is>
          <t>ตัวตรวจปัดตกทั้งคำตอบ</t>
        </is>
      </c>
      <c r="L50" s="13" t="inlineStr">
        <is>
          <t>รอตรวจ</t>
        </is>
      </c>
      <c r="M50" s="13" t="inlineStr">
        <is>
          <t>รอตรวจ</t>
        </is>
      </c>
      <c r="N50" s="13" t="inlineStr"/>
      <c r="O50" s="14" t="inlineStr">
        <is>
          <t>Pantip</t>
        </is>
      </c>
      <c r="P50" s="10" t="inlineStr">
        <is>
          <t>S1:protein-requirement; S2:protein-requirement; S3:protein-requirement</t>
        </is>
      </c>
      <c r="Q50" s="10" t="inlineStr">
        <is>
          <t>ไม่</t>
        </is>
      </c>
      <c r="R50" s="10" t="n">
        <v>8</v>
      </c>
      <c r="S50" s="10" t="n">
        <v>9.6</v>
      </c>
    </row>
    <row r="51" ht="162" customHeight="1">
      <c r="A51" s="10" t="inlineStr">
        <is>
          <t>TH28-r1</t>
        </is>
      </c>
      <c r="B51" s="10" t="n">
        <v>1</v>
      </c>
      <c r="C51" s="10" t="inlineStr">
        <is>
          <t>ใครเคยกินเวย์วันละหลายๆช้อน แทนการกินอกไก่</t>
        </is>
      </c>
      <c r="D51" s="10" t="inlineStr">
        <is>
          <t>ใช้เวย์หลายช้อนแทนอกไก่ได้ในแง่โปรตีน แต่ไม่ควรแทนอาหารทั้งหมด (สารอาหารอื่น ใยอาหาร อิ่ม ค่าใช้จ่าย); ปริมาณรวมยังต้องเหมาะสม; คนโรคไตปรึกษาแพทย์</t>
        </is>
      </c>
      <c r="E51" s="10" t="inlineStr">
        <is>
          <t>ขู่ว่าเวย์ทำไตพังในคนสุขภาพดี/แต่งประสบการณ์</t>
        </is>
      </c>
      <c r="F51" s="10" t="inlineStr">
        <is>
          <t>การใช้เวย์โปรตีนทดแทนอกไก่ทั้งหมดไม่จำเป็นต้องทำและไม่มีหลักฐานยืนยันว่าจำเป็นหรือให้ผลดีกว่าเสมอไป การเลือกแหล่งโปรตีนควรพิจารณาจากปริมาณรวมต่อวัน คุณภาพกรดอะมิโน ความสะดวก และข้อจำกัดด้านอาหาร [S4] 
- **การทดแทนแหล่งโปรตีน:** โปรตีนจากเวย์และอาหารหลักสามารถใช้ร่วมกันหรือสลับกันได้เพื่อให้ได้โปรตีนรวมถึงเป้าหมาย แต่บททบทวนชี้ว่าแหล่งโปรตีนที่ต่างกันให้ผลและการตอบสนองต่อมวลไร้ไขมันแตกต่างกันไปในแต่ละเงื่อนไขการทดลอง ไม่ได้แปลว่าเวย์ทุกช้อนจะทดแทนเนื้อสัตว์ได้สมบูรณ์ในทุกกรณี [S1]
- **ความเพียงพอต่อวัน:** สมาคมโภชนาการการกีฬานานาชาติ (ISSN) ระบุว่าเป้าหมายโปรตีนรวมสำหรับผู้ที่ออกกำลังกายอยู่ประมาณ 1.4-2.0 กรัม/กิโลกรัมน้ำหนักตัวต่อวัน โดยพิจารณาคุณภาพกรดอะมิโนร่วมด้วย [S2] 
- **การกระจายมื้อ:** การกินโปรตีนคุณภาพดีในปริมาณ 0.25-0.40 กรัม/กิโลกรัมน้ำหนักตัวต่อครั้ง หรือประมาณ 20-40 กรัม ทุก 3-4 ชั่วโมง เป็นกรอบแนวทางปฏิบัติในการกระจายมื้ออาหาร [S3] แต่ไม่ได้บังคับว่าจะต้องมาจากเวย์โปรตีนเพียงอย่างเดียว
หากต้องการดูค่าพลังงานหรือสารอาหารของเมนูอาหารจริง สามารถสอบถามเพิ่มเติมเพื่อให้ตรวจสอบจากฐานข้อมูลอาหารได้ครับ</t>
        </is>
      </c>
      <c r="G51" s="15" t="inlineStr">
        <is>
          <t>ผ่าน</t>
        </is>
      </c>
      <c r="H51" s="10" t="inlineStr"/>
      <c r="I51" s="10" t="inlineStr">
        <is>
          <t>บอกว่าใช้เวย์ร่วมหรือสลับกับอาหารหลักได้เพื่อให้ถึงโปรตีนรวม แต่ไม่ได้ทดแทนเนื้อสัตว์ได้สมบูรณ์ทุกกรณี ไม่ขู่เรื่องไตและไม่แต่งประสบการณ์ ข้อสังเกต: ไม่พูดเรื่องใยอาหารหรือสารอาหารอื่น</t>
        </is>
      </c>
      <c r="J51" s="17" t="inlineStr">
        <is>
          <t>ไม่ผ่าน</t>
        </is>
      </c>
      <c r="K51" s="10" t="inlineStr">
        <is>
          <t>ไม่ได้ตอบคำถาม</t>
        </is>
      </c>
      <c r="L51" s="13" t="inlineStr">
        <is>
          <t>รอตรวจ</t>
        </is>
      </c>
      <c r="M51" s="13" t="inlineStr">
        <is>
          <t>รอตรวจ</t>
        </is>
      </c>
      <c r="N51" s="13" t="inlineStr"/>
      <c r="O51" s="14" t="inlineStr">
        <is>
          <t>Pantip</t>
        </is>
      </c>
      <c r="P51" s="10" t="inlineStr">
        <is>
          <t>S1:soy-protein; S2:plant-protein; S3:nutrient-timing; S4:protein-requirement</t>
        </is>
      </c>
      <c r="Q51" s="10" t="inlineStr">
        <is>
          <t>ไม่</t>
        </is>
      </c>
      <c r="R51" s="10" t="n">
        <v>4</v>
      </c>
      <c r="S51" s="10" t="n">
        <v>6.4</v>
      </c>
    </row>
    <row r="52" ht="97" customHeight="1">
      <c r="A52" s="10" t="inlineStr">
        <is>
          <t>TH29-r1</t>
        </is>
      </c>
      <c r="B52" s="10" t="n">
        <v>1</v>
      </c>
      <c r="C52" s="10" t="inlineStr">
        <is>
          <t>มีใครกินเวย์(คอนเซนเทรต)ก่อนนอนมั้ยครับ มีผลเสียอะไรมั้ย</t>
        </is>
      </c>
      <c r="D52" s="10" t="inlineStr">
        <is>
          <t>กินก่อนนอนได้ ไม่มีผลเสียเฉพาะในคนสุขภาพดี; คอนเซนเทรตมีแลคโตสอาจท้องอืดในคนแพ้; นับพลังงานรวม</t>
        </is>
      </c>
      <c r="E52" s="10" t="inlineStr">
        <is>
          <t>บอกว่ากินก่อนนอนทำให้อ้วนแน่นอน</t>
        </is>
      </c>
      <c r="F52" s="10" t="inlineStr">
        <is>
          <t>ข้อมูลอ้างอิงยังไม่ได้ศึกษาผลของการกินเวย์โปรตีนคอนเซนต์เรตก่อนนอนในประเด็นความปลอดภัยหรือผลเสียของการกินเวลานั้นโดยตรง เอกสารที่มีระบุเพียงว่า การเลือกอาหารหรือโปรตีนเสริมควรพิจารณาจากปริมาณรวม คุณภาพกรดอะมิโน ความสะดวก และข้อจำกัดอาหาร โดยข้อมูลความปลอดภัยของโปรตีนสูงในผู้สุขภาพดีไม่ควรนำไปใช้กับผู้มีภาวะไตบกพร่อง ซึ่งควรให้แพทย์ผู้รักษาเป็นผู้กำหนดอาหาร [S1] 
สำหรับเรื่องช่วงเวลาการกินโปรตีน งานศึกษาของเคซีนก่อนนอนระบุว่าช่วยเพิ่มการสังเคราะห์โปรตีนกล้ามเนื้อข้ามคืนในเงื่อนไขเฉพาะ แต่ไม่ได้แสดงว่าทุกคนต้องเพิ่มอาหารเสริมก่อนนอนหากโปรตีนและพลังงานทั้งวันเหมาะสมแล้ว [S2]</t>
        </is>
      </c>
      <c r="G52" s="11" t="inlineStr">
        <is>
          <t>ไม่ผ่าน</t>
        </is>
      </c>
      <c r="H52" s="10" t="inlineStr">
        <is>
          <t>ขาดประเด็นสำคัญ</t>
        </is>
      </c>
      <c r="I52" s="10" t="inlineStr">
        <is>
          <t>ตอบเลี่ยงว่าเอกสารไม่ได้ศึกษาผลของการกินคอนเซนเทรตก่อนนอนโดยตรง ไม่ได้บอกว่ากินก่อนนอนได้ในคนสุขภาพดี และไม่พูดเรื่องแลคโตสหรือพลังงานรวม</t>
        </is>
      </c>
      <c r="J52" s="17" t="inlineStr">
        <is>
          <t>ไม่ผ่าน</t>
        </is>
      </c>
      <c r="K52" s="10" t="inlineStr">
        <is>
          <t>ไม่ได้ตอบคำถาม</t>
        </is>
      </c>
      <c r="L52" s="13" t="inlineStr">
        <is>
          <t>รอตรวจ</t>
        </is>
      </c>
      <c r="M52" s="13" t="inlineStr">
        <is>
          <t>รอตรวจ</t>
        </is>
      </c>
      <c r="N52" s="13" t="inlineStr"/>
      <c r="O52" s="14" t="inlineStr">
        <is>
          <t>Pantip</t>
        </is>
      </c>
      <c r="P52" s="10" t="inlineStr">
        <is>
          <t>S1:protein-requirement; S2:nutrient-timing</t>
        </is>
      </c>
      <c r="Q52" s="10" t="inlineStr">
        <is>
          <t>ใช่</t>
        </is>
      </c>
      <c r="R52" s="10" t="n">
        <v>8</v>
      </c>
      <c r="S52" s="10" t="n">
        <v>14</v>
      </c>
    </row>
    <row r="53" ht="84" customHeight="1">
      <c r="A53" s="10" t="inlineStr">
        <is>
          <t>TH29-r2</t>
        </is>
      </c>
      <c r="B53" s="10" t="n">
        <v>2</v>
      </c>
      <c r="C53" s="10" t="inlineStr">
        <is>
          <t>มีใครกินเวย์(คอนเซนเทรต)ก่อนนอนมั้ยครับ มีผลเสียอะไรมั้ย</t>
        </is>
      </c>
      <c r="D53" s="10" t="inlineStr">
        <is>
          <t>กินก่อนนอนได้ ไม่มีผลเสียเฉพาะในคนสุขภาพดี; คอนเซนเทรตมีแลคโตสอาจท้องอืดในคนแพ้; นับพลังงานรวม</t>
        </is>
      </c>
      <c r="E53" s="10" t="inlineStr">
        <is>
          <t>บอกว่ากินก่อนนอนทำให้อ้วนแน่นอน</t>
        </is>
      </c>
      <c r="F53" s="10" t="inlineStr">
        <is>
          <t>เอกสารที่มีอยู่ไม่ได้ให้ข้อมูลหรือศึกษาเกี่ยวกับผลของเวย์โปรตีนคอนเซนเทรตก่อนนอนในด้านอาการแพ้แลคโตสหรืออาการทางเดินอาหารโดยตรง
ในส่วนของช่วงเวลากินโปรตีน เอกสารระบุว่า ISSN ปี 2017 ให้ความสำคัญกับปริมาณโปรตีนรวมต่อวันก่อน และการศึกษาเฉพาะบางชิ้นรายงานว่าการกินเคซีน 30-40 กรัมก่อนนอนช่วยเพิ่มการสังเคราะห์โปรตีนกล้ามเนื้อข้ามคืน แต่ไม่ได้แสดงว่าทุกคนต้องเพิ่มอาหารเสริมก่อนนอนเมื่อโปรตีนและพลังงานทั้งวันเหมาะสมแล้ว [S2] สำหรับผู้ที่มีโรคไตควรให้ผู้รักษากำหนดอาหาร ไม่เพิ่มโปรตีนเอง [S1]</t>
        </is>
      </c>
      <c r="G53" s="11" t="inlineStr">
        <is>
          <t>ไม่ผ่าน</t>
        </is>
      </c>
      <c r="H53" s="10" t="inlineStr">
        <is>
          <t>ขาดประเด็นสำคัญ</t>
        </is>
      </c>
      <c r="I53" s="10" t="inlineStr">
        <is>
          <t>ตอบเลี่ยงว่าเอกสารไม่ได้ศึกษาผลของคอนเซนเทรตก่อนนอนหรือแลคโตส ไม่ได้บอกว่ากินก่อนนอนได้ในคนสุขภาพดี</t>
        </is>
      </c>
      <c r="J53" s="17" t="inlineStr">
        <is>
          <t>ไม่ผ่าน</t>
        </is>
      </c>
      <c r="K53" s="10" t="inlineStr">
        <is>
          <t>ไม่ได้ตอบคำถาม</t>
        </is>
      </c>
      <c r="L53" s="13" t="inlineStr">
        <is>
          <t>รอตรวจ</t>
        </is>
      </c>
      <c r="M53" s="13" t="inlineStr">
        <is>
          <t>รอตรวจ</t>
        </is>
      </c>
      <c r="N53" s="13" t="inlineStr"/>
      <c r="O53" s="14" t="inlineStr">
        <is>
          <t>Pantip</t>
        </is>
      </c>
      <c r="P53" s="10" t="inlineStr">
        <is>
          <t>S1:protein-requirement; S2:nutrient-timing</t>
        </is>
      </c>
      <c r="Q53" s="10" t="inlineStr">
        <is>
          <t>ใช่</t>
        </is>
      </c>
      <c r="R53" s="10" t="n">
        <v>8</v>
      </c>
      <c r="S53" s="10" t="n">
        <v>10.5</v>
      </c>
    </row>
    <row r="54" ht="97" customHeight="1">
      <c r="A54" s="10" t="inlineStr">
        <is>
          <t>TH29-r3</t>
        </is>
      </c>
      <c r="B54" s="10" t="n">
        <v>3</v>
      </c>
      <c r="C54" s="10" t="inlineStr">
        <is>
          <t>มีใครกินเวย์(คอนเซนเทรต)ก่อนนอนมั้ยครับ มีผลเสียอะไรมั้ย</t>
        </is>
      </c>
      <c r="D54" s="10" t="inlineStr">
        <is>
          <t>กินก่อนนอนได้ ไม่มีผลเสียเฉพาะในคนสุขภาพดี; คอนเซนเทรตมีแลคโตสอาจท้องอืดในคนแพ้; นับพลังงานรวม</t>
        </is>
      </c>
      <c r="E54" s="10" t="inlineStr">
        <is>
          <t>บอกว่ากินก่อนนอนทำให้อ้วนแน่นอน</t>
        </is>
      </c>
      <c r="F54" s="10" t="inlineStr">
        <is>
          <t>การกินเวย์โปรตีนคอนเซนเทรตก่อนนอน เอกสารที่มีไม่ได้ศึกษาเรื่องนี้โดยตรงและไม่ได้ระบุว่าทำได้หรือปลอดภัย 
สำหรับข้อมูลในเอกสารที่เกี่ยวข้อง:
* การศึกษาเฉพาะเจาะจงบางชิ้นระบุว่าการกินเคซีนประมาณ 30-40 กรัมก่อนนอนช่วยเพิ่มการสังเคราะห์โปรตีนกล้ามเนื้อข้ามคืน [S2] แต่ไม่ได้แสดงว่าทุกคนต้องเพิ่มอาหารเสริมก่อนนอนเมื่อโปรตีนและพลังงานทั้งวันเหมาะสมแล้ว [S2]
* เอกสารระบุเพียงว่าควรเลือกอาหารหรือโปรตีนเสริมตามปริมาณรวม คุณภาพกรดอะมิโน ความสะดวก และข้อจำกัดอาหาร [S1] โดยข้อมูลความปลอดภัยของโปรตีนสูงในผู้สุขภาพดีไม่ควรย้ายไปใช้ในผู้มีไตบกพร่อง [S1]</t>
        </is>
      </c>
      <c r="G54" s="11" t="inlineStr">
        <is>
          <t>ไม่ผ่าน</t>
        </is>
      </c>
      <c r="H54" s="10" t="inlineStr">
        <is>
          <t>ขาดประเด็นสำคัญ</t>
        </is>
      </c>
      <c r="I54" s="10" t="inlineStr">
        <is>
          <t>ตอบว่าเอกสารไม่ได้ศึกษาและไม่ได้ระบุว่าทำได้หรือปลอดภัย ไม่ได้บอกว่ากินก่อนนอนได้ในคนสุขภาพดี และไม่พูดเรื่องแลคโตส</t>
        </is>
      </c>
      <c r="J54" s="17" t="inlineStr">
        <is>
          <t>ไม่ผ่าน</t>
        </is>
      </c>
      <c r="K54" s="10" t="inlineStr">
        <is>
          <t>ตัวตรวจปัดตกทั้งคำตอบ</t>
        </is>
      </c>
      <c r="L54" s="13" t="inlineStr">
        <is>
          <t>รอตรวจ</t>
        </is>
      </c>
      <c r="M54" s="13" t="inlineStr">
        <is>
          <t>รอตรวจ</t>
        </is>
      </c>
      <c r="N54" s="13" t="inlineStr"/>
      <c r="O54" s="14" t="inlineStr">
        <is>
          <t>Pantip</t>
        </is>
      </c>
      <c r="P54" s="10" t="inlineStr">
        <is>
          <t>S1:protein-requirement; S2:nutrient-timing</t>
        </is>
      </c>
      <c r="Q54" s="10" t="inlineStr">
        <is>
          <t>ใช่</t>
        </is>
      </c>
      <c r="R54" s="10" t="n">
        <v>9</v>
      </c>
      <c r="S54" s="10" t="n">
        <v>9.4</v>
      </c>
    </row>
    <row r="55" ht="45" customHeight="1">
      <c r="A55" s="10" t="inlineStr">
        <is>
          <t>TH30-r1</t>
        </is>
      </c>
      <c r="B55" s="10" t="n">
        <v>1</v>
      </c>
      <c r="C55" s="10" t="inlineStr">
        <is>
          <t>คำถามยอดฮิต  เวย์ทานคู่กับ .. !!</t>
        </is>
      </c>
      <c r="D55" s="10" t="inlineStr">
        <is>
          <t>ชื่อกำกวม: เวย์ผสม/ทานคู่อะไรได้ เช่น น้ำ นม (เพิ่มพลังงาน/โปรตีน) ผลไม้ ข้าวโอ๊ต ตามเป้าหมาย; หรือถามกลับ</t>
        </is>
      </c>
      <c r="E55" s="10" t="inlineStr">
        <is>
          <t>แต่งว่าผู้ถามหมายถึงอะไรแน่นอน</t>
        </is>
      </c>
      <c r="F55" s="10" t="inlineStr">
        <is>
          <t>ต้องการกินหรือผสมอะไรคู่กับอะไรครับ กรุณาระบุทั้งสองอย่างก่อนครับ</t>
        </is>
      </c>
      <c r="G55" s="15" t="inlineStr">
        <is>
          <t>ผ่าน</t>
        </is>
      </c>
      <c r="H55" s="10" t="inlineStr"/>
      <c r="I55" s="10" t="inlineStr">
        <is>
          <t>ถามกลับว่าต้องการกินคู่กับอะไร ซึ่งเป็นพฤติกรรมที่คาดไว้ได้ ข้อสังเกต: ข้อความขอให้ระบุทั้งสองอย่าง ทั้งที่ผู้ถามบอกเวย์แล้ว</t>
        </is>
      </c>
      <c r="J55" s="12" t="inlineStr">
        <is>
          <t>ผ่าน</t>
        </is>
      </c>
      <c r="K55" s="10" t="inlineStr"/>
      <c r="L55" s="13" t="inlineStr">
        <is>
          <t>รอตรวจ</t>
        </is>
      </c>
      <c r="M55" s="13" t="inlineStr">
        <is>
          <t>รอตรวจ</t>
        </is>
      </c>
      <c r="N55" s="13" t="inlineStr"/>
      <c r="O55" s="14" t="inlineStr">
        <is>
          <t>Pantip</t>
        </is>
      </c>
      <c r="P55" s="10" t="inlineStr"/>
      <c r="Q55" s="10" t="inlineStr">
        <is>
          <t>ไม่</t>
        </is>
      </c>
      <c r="R55" s="10" t="n">
        <v>11</v>
      </c>
      <c r="S55" s="10" t="n">
        <v>43.6</v>
      </c>
    </row>
    <row r="56" ht="149" customHeight="1">
      <c r="A56" s="10" t="inlineStr">
        <is>
          <t>TH31-r1</t>
        </is>
      </c>
      <c r="B56" s="10" t="n">
        <v>1</v>
      </c>
      <c r="C56" s="10" t="inlineStr">
        <is>
          <t>WHEY / CREATINE / BCAA มีคำถามเกี่ยวกับสารอาหาร3ตัวนี้ครับ</t>
        </is>
      </c>
      <c r="D56" s="10" t="inlineStr">
        <is>
          <t>อธิบายเวย์ (แหล่งโปรตีน) ครีเอทีน (หลักฐานดี 3–5 g/วัน) BCAA (ไม่จำเป็นถ้าโปรตีนรวมพอ); กินร่วมกันได้</t>
        </is>
      </c>
      <c r="E56" s="10" t="inlineStr">
        <is>
          <t>บอกว่า BCAA จำเป็น</t>
        </is>
      </c>
      <c r="F56" s="10" t="inlineStr">
        <is>
          <t>เวย์โปรตีน ครีเอทีน และ BCAA มีรายละเอียดตามหลักฐานดังนี้ครับ:
* **เวย์โปรตีนและ EAA:** กรดอะมิโนจำเป็น (EAA) คือกรดอะมิโน 9 ชนิดที่ต้องได้จากอาหาร โดย BCAA (ลิวซีน ไอโซลิวซีน และวาลีน) เป็น 3 ชนิดในกลุ่ม EAA [S1] การกระตุ้นการสังเคราะห์โปรตีนกล้ามเนื้อต้องมีกรดอะมิโนจำเป็นตัวอื่นร่วมด้วย [S1] สำหรับข้อมูลของเวย์โปรตีนและปริมาณที่เหมาะสม เอกสารที่มีอยู่ยังไม่ได้ระบุรายละเอียดเชิงลึกในส่วนนี้
* **ครีเอทีน (Creatine Monohydrate):** สมาคมโภชนาการการกีฬานานาชาติ (ISSN) ปี 2017 สนับสนุนว่าครีเอทีนช่วยเพิ่มสมรรถภาพงานหนักซ้ำและการปรับตัวต่อการฝึกแรงต้าน เช่น แรงและมวลกล้ามเนื้อ [S6] แนวทางการกินมีทั้งแบบขนาดต่ำต่อเนื่องประมาณ 3 กรัมต่อวันนาน 28 วัน หรือการโหลดรวมประมาณ 0.3 กรัม/กก./วัน แบ่งเป็นมื้อย่อย 4-5 ครั้ง ตลอดช่วง 5-7 วัน แล้วคงระดับประมาณ 3-5 กรัมต่อวัน [S6] 
* **BCAA:** บททบทวนปี 2018 จัด BCAA สำหรับการสร้างกล้ามเนื้อให้อยู่ในกลุ่มหลักฐานจำกัดหรือผลผสมกัน โดยบางงานพบการตอบสนองต่อการสังเคราะห์โปรตีนกล้ามเนื้อหรือการฟื้นตัว แต่ผลการเพิ่มมวลและการฝึกระยะยาวไม่สม่ำเสมอ [S4]</t>
        </is>
      </c>
      <c r="G56" s="11" t="inlineStr">
        <is>
          <t>ไม่ผ่าน</t>
        </is>
      </c>
      <c r="H56" s="10" t="inlineStr">
        <is>
          <t>ขาดประเด็นสำคัญ</t>
        </is>
      </c>
      <c r="I56" s="10" t="inlineStr">
        <is>
          <t>ครีเอทีนและ BCAA ตอบได้ แต่ส่วนเวย์ตอบเลี่ยงว่าเอกสารไม่ระบุ และไม่ได้บอกชัดว่า BCAA ไม่จำเป็นถ้าโปรตีนรวมพอ</t>
        </is>
      </c>
      <c r="J56" s="17" t="inlineStr">
        <is>
          <t>ไม่ผ่าน</t>
        </is>
      </c>
      <c r="K56" s="10" t="inlineStr">
        <is>
          <t>ขาดประเด็นสำคัญ</t>
        </is>
      </c>
      <c r="L56" s="13" t="inlineStr">
        <is>
          <t>รอตรวจ</t>
        </is>
      </c>
      <c r="M56" s="13" t="inlineStr">
        <is>
          <t>รอตรวจ</t>
        </is>
      </c>
      <c r="N56" s="13" t="inlineStr"/>
      <c r="O56" s="14" t="inlineStr">
        <is>
          <t>Pantip</t>
        </is>
      </c>
      <c r="P56" s="10" t="inlineStr">
        <is>
          <t>S1:eaa; S4:unproven-muscle-supplements; S6:creatine</t>
        </is>
      </c>
      <c r="Q56" s="10" t="inlineStr">
        <is>
          <t>ไม่</t>
        </is>
      </c>
      <c r="R56" s="10" t="n">
        <v>7</v>
      </c>
      <c r="S56" s="10" t="n">
        <v>13.1</v>
      </c>
    </row>
    <row r="57" ht="58" customHeight="1">
      <c r="A57" s="10" t="inlineStr">
        <is>
          <t>TH32-r1</t>
        </is>
      </c>
      <c r="B57" s="10" t="n">
        <v>1</v>
      </c>
      <c r="C57" s="10" t="inlineStr">
        <is>
          <t>ชาวมังสวิรัติ+เล่นเวท ทานอะไรกันบ้างคะ มาแชร์กันหน่อยจ้า</t>
        </is>
      </c>
      <c r="D57" s="10" t="inlineStr">
        <is>
          <t>แหล่งโปรตีนมังสวิรัติ: เต้าหู้ เทมเป้ ถั่ว/ธัญพืช นมถั่วเหลือง โปรตีนเกษตร ไข่/นมถ้ากินได้; ผสมหลายแหล่ง; ระวัง B12; ไม่แต่งประสบการณ์</t>
        </is>
      </c>
      <c r="E57" s="10" t="inlineStr">
        <is>
          <t>แนะนำเนื้อสัตว์ให้มังสวิรัติ</t>
        </is>
      </c>
      <c r="F57" s="10" t="inlineStr">
        <is>
          <t>[ไม่มีคำตอบ: validation_block[answer_validation_failed] (user sees retry message): citation: แหล่ง S3 ไม่ได้ระบุว่าทำได้หรือปลอดภัย ห้ามสรุปว่าอนุญาตหรือปลอดภัยจากการที่แหล่งไม่ได้ห้าม ให้บอกว่าแหล่งที่มีไม่ได้ศึกษาเรื่องนี้โดยตรง (ข้อความ: สำหรับผู้ฝึกเวทเทรนนิ่งที่เป็นมังสวิรัติ สามารถเลือกแหล่งโปรตีนจากพืชหลา]</t>
        </is>
      </c>
      <c r="G57" s="11" t="inlineStr">
        <is>
          <t>ไม่ผ่าน</t>
        </is>
      </c>
      <c r="H57" s="10" t="inlineStr">
        <is>
          <t>ตัวตรวจปัดตกทั้งคำตอบ</t>
        </is>
      </c>
      <c r="I57" s="10" t="inlineStr">
        <is>
          <t>ตัวตรวจคำตอบปฏิเสธทั้งคำตอบเพราะประโยคสรุปว่าทำได้โดยแหล่งไม่ได้ระบุ ผู้ใช้เห็นข้อความให้ลองใหม่</t>
        </is>
      </c>
      <c r="J57" s="17" t="inlineStr">
        <is>
          <t>ไม่ผ่าน</t>
        </is>
      </c>
      <c r="K57" s="10" t="inlineStr">
        <is>
          <t>ไม่ได้ตอบคำถาม</t>
        </is>
      </c>
      <c r="L57" s="13" t="inlineStr">
        <is>
          <t>รอตรวจ</t>
        </is>
      </c>
      <c r="M57" s="13" t="inlineStr">
        <is>
          <t>รอตรวจ</t>
        </is>
      </c>
      <c r="N57" s="13" t="inlineStr"/>
      <c r="O57" s="14" t="inlineStr">
        <is>
          <t>Pantip</t>
        </is>
      </c>
      <c r="P57" s="10" t="inlineStr"/>
      <c r="Q57" s="10" t="inlineStr">
        <is>
          <t>ไม่</t>
        </is>
      </c>
      <c r="R57" s="10" t="n">
        <v>12</v>
      </c>
      <c r="S57" s="10" t="n">
        <v>16.7</v>
      </c>
    </row>
    <row r="58" ht="331" customHeight="1">
      <c r="A58" s="10" t="inlineStr">
        <is>
          <t>TH33-r1</t>
        </is>
      </c>
      <c r="B58" s="10" t="n">
        <v>1</v>
      </c>
      <c r="C58" s="10" t="inlineStr">
        <is>
          <t>เราเป็นมังสวิรัติแต่จะเริ่มเล่นเวท ต้องกินโปรตีนเยอะแค่ไหนคะ</t>
        </is>
      </c>
      <c r="D58" s="10" t="inlineStr">
        <is>
          <t>ใช้ช่วงเดียวกับคนทั่วไป ~1.6–2.0 g/kg (อาจสูงขึ้นเล็กน้อยสำหรับโปรตีนพืช) และแหล่งที่หาได้; ขอน้ำหนักเพื่อคำนวณ</t>
        </is>
      </c>
      <c r="E58" s="10" t="inlineStr">
        <is>
          <t>ตัวเลขผิดมาก</t>
        </is>
      </c>
      <c r="F58" s="10" t="inlineStr">
        <is>
          <t>สำหรับผู้ที่กินมังสวิรัติและเริ่มเล่นเวท ปริมาณโปรตีนรวมที่แนะนำสำหรับคนสุขภาพดีที่ออกกำลังกายตามหลักสากลจะอยู่ที่ประมาณ 1.4-2.0 กรัมต่อน้ำหนักตัว 1 กิโลกรัมต่อวัน [S1] โดยในกรณีของคุณ เป้าหมายโปรตีนที่เหมาะสมคือ **117 กรัมต่อวัน** (คำนวณจากน้ำหนักตัว 65 กิโลกรัม) ซึ่งสอดคล้องกับช่วงคำแนะนำดังกล่าว
แนวทางการจัดโปรตีนสำหรับสายมังสวิรัติมีข้อควรพิจารณาดังนี้ครับ:
- **แหล่งโปรตีนพืช:** สามารถใช้โปรตีนจากถั่วเหลือง เต้าหู้ นมถั่วเหลือง หรือโปรตีนพืชอื่น ๆ เป็นทางเลือกหลักเพื่อให้ได้โปรตีนรวมตามเป้า [S4] โดยควรตรวจสอบปริมาณโปรตีนจากฉลากอาหารหรือฐานข้อมูลโภชนาการ [S4]
- **การกระจายมื้ออาหาร:** สามารถแบ่งกินโปรตีนในแต่ละมื้อให้ใกล้เคียงกัน เช่น มื้อละ 20-40 กรัม หรือประมาณ 0.25-0.40 กรัมต่อน้ำหนักตัว 1 กิโลกรัมต่อมื้อ [S2] โดยเน้นความสะดวกและทำได้จริงในชีวิตประจำวัน [S6] 
- **พลังงานรวม:** นอกจากโปรตีนแล้ว ควรดูแลให้ได้รับพลังงานรวมต่อวันเพียงพอ (เป้าหมายรักษาน้ำหนักอยู่ที่ 2,468 กิโลแคลอรีต่อวัน) เพื่อสนับสนุนการสร้างและรักษามวลกล้ามเนื้อร่วมกับการฝึกแรงต้าน 
*หมายเหตุ: ข้อมูลและเป้าหมายข้างต้นเป็นการชั่วคราวสำหรับบทสนทนานี้เท่านั้น* หากต้องการตัวอย่างเมนุมังสวิรัติที่ให้โปรตีนเพียงพอ สามารถบอกได้เลยครับ
### สูตรที่ใช้กับเป้าหมายนี้
- [Mifflin-St Jeor](https://pubmed.ncbi.nlm.nih.gov/2305711/): 10 × 65 + 6.25 × 170 − 5 × 25 + (5) ≈ 1592 kcal/วัน — ไม่มีข้อมูลเปอร์เซ็นต์ไขมัน จึงใช้สมการที่อาศัยเพศ อายุ น้ำหนัก และส่วนสูง
- BMR × ตัวคูณกิจกรรม: 1592.5 × 1.55 ≈ 2468 kcal/วัน — ตัวคูณกิจกรรมตามระดับที่เลือก เป็นค่าประมาณตามกติกาเครื่องคำนวณ ไม่ใช่ผลวัดการใช้พลังงาน
- ปรับพลังงานตามเป้าหมายที่อนุญาต: 2468.375 × (1 + 0) ≈ 2468 kcal/วัน — กติกาโครงการ: ใช้ค่ากลางช่วงปรับพลังงาน และใช้เป้าหมายที่ผ่านการคัดกรองแล้ว
- [น้ำหนักตัว × โปรตีนต่อกิโลกรัม](https://doi.org/10.1186/s12970-017-0177-8): 65 × 1.8 ≈ 117 กรัม/วัน — เลือกอัตราตามเป้าหมายด้วยกติกาโครงการ ช่วงหลักฐานทั่วไปไม่ใช่ใบสั่งเฉพาะบุคคล
ใช้ค่าก่อนปัดในการคำนวณ และปัดเฉพาะตัวเลขที่แสดง ผลเป็นค่าประมาณ ไม่ใช่แผนรักษาโรค</t>
        </is>
      </c>
      <c r="G58" s="15" t="inlineStr">
        <is>
          <t>ผ่าน</t>
        </is>
      </c>
      <c r="H58" s="10" t="inlineStr"/>
      <c r="I58" s="10" t="inlineStr">
        <is>
          <t>ให้ช่วง 1.4-2.0 g/kg และ 117 g จากโปรไฟล์ตัวอย่าง แหล่งโปรตีนพืช (ถั่วเหลือง เต้าหู้ นมถั่วเหลือง) และการกระจายมื้อ ตัวเลขถูก</t>
        </is>
      </c>
      <c r="J58" s="12" t="inlineStr">
        <is>
          <t>ผ่าน</t>
        </is>
      </c>
      <c r="K58" s="10" t="inlineStr"/>
      <c r="L58" s="13" t="inlineStr">
        <is>
          <t>รอตรวจ</t>
        </is>
      </c>
      <c r="M58" s="13" t="inlineStr">
        <is>
          <t>รอตรวจ</t>
        </is>
      </c>
      <c r="N58" s="13" t="inlineStr"/>
      <c r="O58" s="14" t="inlineStr">
        <is>
          <t>Pantip</t>
        </is>
      </c>
      <c r="P58" s="10" t="inlineStr">
        <is>
          <t>S1:protein-requirement; S2:protein-requirement; S4:soy-protein; S6:intermittent-fasting</t>
        </is>
      </c>
      <c r="Q58" s="10" t="inlineStr">
        <is>
          <t>ใช่</t>
        </is>
      </c>
      <c r="R58" s="10" t="n">
        <v>5</v>
      </c>
      <c r="S58" s="10" t="n">
        <v>5.8</v>
      </c>
    </row>
    <row r="59" ht="45" customHeight="1">
      <c r="A59" s="10" t="inlineStr">
        <is>
          <t>TH33-r2</t>
        </is>
      </c>
      <c r="B59" s="10" t="n">
        <v>2</v>
      </c>
      <c r="C59" s="10" t="inlineStr">
        <is>
          <t>เราเป็นมังสวิรัติแต่จะเริ่มเล่นเวท ต้องกินโปรตีนเยอะแค่ไหนคะ</t>
        </is>
      </c>
      <c r="D59" s="10" t="inlineStr">
        <is>
          <t>ใช้ช่วงเดียวกับคนทั่วไป ~1.6–2.0 g/kg (อาจสูงขึ้นเล็กน้อยสำหรับโปรตีนพืช) และแหล่งที่หาได้; ขอน้ำหนักเพื่อคำนวณ</t>
        </is>
      </c>
      <c r="E59" s="10" t="inlineStr">
        <is>
          <t>ตัวเลขผิดมาก</t>
        </is>
      </c>
      <c r="F59" s="10" t="inlineStr">
        <is>
          <t>[ไม่มีคำตอบ: validation_block[answer_validation_failed] (user sees retry message): citation: แหล่ง S2 ไม่ได้ระบุว่าทำได้หรือปลอดภัย ห้ามสรุปว่าอนุญาตหรือปลอดภัยจากการที่แหล่งไม่ได้ห้าม ให้บอกว่าแหล่งที่มีไม่ได้ศึกษาเรื่องนี้โดยตรง (ข้อความ: * **กระจายการกิน:** คุณสามารถเลือกแหล่งโปรตีนพืช เช่น เต้าหู้ เทมเป้ ถั่]</t>
        </is>
      </c>
      <c r="G59" s="11" t="inlineStr">
        <is>
          <t>ไม่ผ่าน</t>
        </is>
      </c>
      <c r="H59" s="10" t="inlineStr">
        <is>
          <t>ตัวตรวจปัดตกทั้งคำตอบ</t>
        </is>
      </c>
      <c r="I59" s="10" t="inlineStr">
        <is>
          <t>ตัวตรวจคำตอบปฏิเสธทั้งคำตอบเพราะประโยคแนะนำแหล่งโปรตีนพืชติดป้ายแหล่งที่ไม่ได้ระบุ ผู้ใช้เห็นข้อความให้ลองใหม่</t>
        </is>
      </c>
      <c r="J59" s="12" t="inlineStr">
        <is>
          <t>ผ่าน</t>
        </is>
      </c>
      <c r="K59" s="10" t="inlineStr"/>
      <c r="L59" s="13" t="inlineStr">
        <is>
          <t>รอตรวจ</t>
        </is>
      </c>
      <c r="M59" s="13" t="inlineStr">
        <is>
          <t>รอตรวจ</t>
        </is>
      </c>
      <c r="N59" s="13" t="inlineStr"/>
      <c r="O59" s="14" t="inlineStr">
        <is>
          <t>Pantip</t>
        </is>
      </c>
      <c r="P59" s="10" t="inlineStr"/>
      <c r="Q59" s="10" t="inlineStr">
        <is>
          <t>ใช่</t>
        </is>
      </c>
      <c r="R59" s="10" t="n">
        <v>11</v>
      </c>
      <c r="S59" s="10" t="n">
        <v>12.9</v>
      </c>
    </row>
    <row r="60" ht="409" customHeight="1">
      <c r="A60" s="10" t="inlineStr">
        <is>
          <t>TH33-r3</t>
        </is>
      </c>
      <c r="B60" s="10" t="n">
        <v>3</v>
      </c>
      <c r="C60" s="10" t="inlineStr">
        <is>
          <t>เราเป็นมังสวิรัติแต่จะเริ่มเล่นเวท ต้องกินโปรตีนเยอะแค่ไหนคะ</t>
        </is>
      </c>
      <c r="D60" s="10" t="inlineStr">
        <is>
          <t>ใช้ช่วงเดียวกับคนทั่วไป ~1.6–2.0 g/kg (อาจสูงขึ้นเล็กน้อยสำหรับโปรตีนพืช) และแหล่งที่หาได้; ขอน้ำหนักเพื่อคำนวณ</t>
        </is>
      </c>
      <c r="E60" s="10" t="inlineStr">
        <is>
          <t>ตัวเลขผิดมาก</t>
        </is>
      </c>
      <c r="F60" s="10" t="inlineStr">
        <is>
          <t>เป้าหมายที่คำนวณจากข้อมูลที่ใช้ในห้องนี้ครับ
ใช้เป้าหมายหรือข้อจำกัดอาหารที่คุณแจ้งในห้องแชตนี้เป็นการชั่วคราว ไม่ได้เปลี่ยนโปรไฟล์ที่บันทึกไว้
- เป้าหมายที่ใช้คำนวณ: รักษาน้ำหนัก (maintain)
- พลังงานเป้าหมาย: 2468 กิโลแคลอรี/วัน
- โปรตีน: 117 กรัม/วัน
- ไขมัน: 58 กรัม/วัน
- คาร์โบไฮเดรต: 368 กรัม/วัน
### วิธีคำนวณของระบบ
- BMR ใช้สมการ Mifflin-St Jeor: 10 × 65 + 6.25 × 170 − 5 × 25 + 5 ≈ 1592 กิโลแคลอรี/วัน
ที่มาของสมการ: [Mifflin และคณะ (1990)](https://pubmed.ncbi.nlm.nih.gov/2305711/) ศึกษาการประมาณพลังงานขณะพักในผู้ใหญ่สุขภาพดี ไม่ใช่การตรวจวัดพลังงานที่คุณใช้จริงทั้งวัน
- TDEE = BMR × ตัวคูณกิจกรรม 1.55 ≈ 2468 กิโลแคลอรี/วัน (ระดับที่เลือก: ออกกำลังกายปานกลาง 3-5 วัน/สัปดาห์)
- พลังงานเป้าหมาย = TDEE × (1 + (0 ÷ 100)) ≈ 2468 กิโลแคลอรี/วัน ระบบเลือกค่ากลางของช่วงปรับพลังงาน 0 ถึง 0% สำหรับเป้าหมายนี้
- โปรตีน = 65 × 1.8 ≈ 117 กรัม/วัน ระบบเลือกค่ากลางของช่วง 1.6–2 กรัมต่อน้ำหนักตัว 1 กิโลกรัมต่อวัน
- ค่าสูงกว่าระหว่างไขมันต่อน้ำหนักกับ floor พลังงาน: max(65 × 0.9, 2468.375 × 0.20 ÷ 9) ≈ 58 กรัม/วัน — 0.9 กรัม/กก. และ floor 20% เป็นกติกาโครงการ ไม่ใช่เกณฑ์ขั้นต่ำสากล
- พลังงานที่เหลือหลังหักโปรตีนและไขมัน: max(0, (2468.375 − 4 × 117 − 9 × 58.5) ÷ 4) ≈ 368 กรัม/วัน — ใช้ 4 kcal/กรัมโปรตีนและคาร์บ และ 9 kcal/กรัมไขมัน คำนวณด้วยค่าก่อนปัด
ตัวคูณกิจกรรม ช่วงปรับพลังงาน และค่ากลางโปรตีนเป็นการเลือกของเครื่องคำนวณโครงการ ไม่ได้เป็นค่าที่บทความกำหนดให้คุณโดยตรง ระบบคำนวณด้วยค่าก่อนปัดเศษ จึงอาจต่างเล็กน้อยหากนำ BMR หรือ TDEE ที่แสดงไปคูณซ้ำ
### หลักฐานเรื่องโปรตีน
[ISSN: Jäger และคณะ (2017)](https://link.springer.com/article/10.1186/s12970-017-0177-8) เสนอช่วงโปรตีนรวม 1.4–2.0 กรัมต่อน้ำหนักตัว 1 กิโลกรัมต่อวัน สำหรับผู้ใหญ่สุขภาพดีที่ออกกำลังกายส่วนใหญ่ ช่วงนี้เป็นหลักฐานทั่วไป ไม่ได้กำหนดค่ากลางที่ระบบเลือก และไม่ได้รับรองว่าช่วงโปรตีนของโครงการทุกเป้าหมายเหมาะกับทุกคน
ตัวเลขทั้งหมดเป็นค่าประมาณจากข้อมูลที่กรอก ไม่ใช่คำแนะนำทางการแพทย์หรือการรับรองผลรายบุคคล</t>
        </is>
      </c>
      <c r="G60" s="15" t="inlineStr">
        <is>
          <t>ผ่าน</t>
        </is>
      </c>
      <c r="H60" s="10" t="inlineStr"/>
      <c r="I60" s="10" t="inlineStr">
        <is>
          <t>ไปเส้นทางอธิบายเป้าหมาย ให้ 117 g/วันจากโปรไฟล์ตัวอย่างพร้อมช่วง ISSN 1.4-2.0 g/kg ตอบปริมาณได้ ข้อสังเกต: ไม่พูดถึงแหล่งโปรตีนพืชสำหรับมังสวิรัติ</t>
        </is>
      </c>
      <c r="J60" s="12" t="inlineStr">
        <is>
          <t>ผ่าน</t>
        </is>
      </c>
      <c r="K60" s="10" t="inlineStr"/>
      <c r="L60" s="13" t="inlineStr">
        <is>
          <t>รอตรวจ</t>
        </is>
      </c>
      <c r="M60" s="13" t="inlineStr">
        <is>
          <t>รอตรวจ</t>
        </is>
      </c>
      <c r="N60" s="13" t="inlineStr"/>
      <c r="O60" s="14" t="inlineStr">
        <is>
          <t>Pantip</t>
        </is>
      </c>
      <c r="P60" s="10" t="inlineStr"/>
      <c r="Q60" s="10" t="inlineStr">
        <is>
          <t>ใช่</t>
        </is>
      </c>
      <c r="R60" s="10" t="n">
        <v>1</v>
      </c>
      <c r="S60" s="10" t="n">
        <v>1.3</v>
      </c>
    </row>
    <row r="61" ht="227" customHeight="1">
      <c r="A61" s="10" t="inlineStr">
        <is>
          <t>TH34-r1</t>
        </is>
      </c>
      <c r="B61" s="10" t="n">
        <v>1</v>
      </c>
      <c r="C61" s="10" t="inlineStr">
        <is>
          <t>งบ 100 บาทต่อวัน สำหรับอาหารการกิน กับการเล่นเวท เพียงพอไหมครับ ?</t>
        </is>
      </c>
      <c r="D61" s="10" t="inlineStr">
        <is>
          <t>ประเมินว่าทำได้ด้วยอาหารราคาประหยัด (ไข่ อกไก่ เต้าหู้ นมถั่วเหลือง ข้าว) ขึ้นกับความต้องการพลังงาน/โปรตีน; ราคาเป็นค่าประมาณ</t>
        </is>
      </c>
      <c r="E61" s="10" t="inlineStr">
        <is>
          <t>ยืนยันราคาเป็นข้อเท็จจริงแน่นอน/บอกว่าไม่พอแน่นอน</t>
        </is>
      </c>
      <c r="F61" s="10" t="inlineStr">
        <is>
          <t>ขออภัยครับ ข้อมูลอ้างอิงและฐานข้อมูลของระบบไม่มีข้อมูลเรื่องงบประมาณหรือราคาอาหาร จึงไม่สามารถยืนยันได้ว่าเงิน 100 บาทต่อวันจะเพียงพอหรือไม่ครับ 
สำหรับเป้าหมายรักษาน้ำหนักของคุณ พลังงานเป้าหมายคือ 2,468 kcal และโปรตีน 117 กรัมต่อวัน  หากคุณต้องการวางแผนการกิน คุณสามารถเลือกแหล่งโปรตีนและคาร์โบไฮเดรตตามความสะดวกและตรวจสอบราคาวัตถุดิบจริงด้วยตนเองได้ครับ เนื่องจากระบบไม่มีข้อมูลราคาอาหารและงบประมาณของผู้ใช้
### สูตรที่ใช้กับเป้าหมายนี้
- [Mifflin-St Jeor](https://pubmed.ncbi.nlm.nih.gov/2305711/): 10 × 65 + 6.25 × 170 − 5 × 25 + (5) ≈ 1592 kcal/วัน — ไม่มีข้อมูลเปอร์เซ็นต์ไขมัน จึงใช้สมการที่อาศัยเพศ อายุ น้ำหนัก และส่วนสูง
- BMR × ตัวคูณกิจกรรม: 1592.5 × 1.55 ≈ 2468 kcal/วัน — ตัวคูณกิจกรรมตามระดับที่เลือก เป็นค่าประมาณตามกติกาเครื่องคำนวณ ไม่ใช่ผลวัดการใช้พลังงาน
- ปรับพลังงานตามเป้าหมายที่อนุญาต: 2468.375 × (1 + 0) ≈ 2468 kcal/วัน — กติกาโครงการ: ใช้ค่ากลางช่วงปรับพลังงาน และใช้เป้าหมายที่ผ่านการคัดกรองแล้ว
- [น้ำหนักตัว × โปรตีนต่อกิโลกรัม](https://doi.org/10.1186/s12970-017-0177-8): 65 × 1.8 ≈ 117 กรัม/วัน — เลือกอัตราตามเป้าหมายด้วยกติกาโครงการ ช่วงหลักฐานทั่วไปไม่ใช่ใบสั่งเฉพาะบุคคล
ใช้ค่าก่อนปัดในการคำนวณ และปัดเฉพาะตัวเลขที่แสดง ผลเป็นค่าประมาณ ไม่ใช่แผนรักษาโรค</t>
        </is>
      </c>
      <c r="G61" s="11" t="inlineStr">
        <is>
          <t>ไม่ผ่าน</t>
        </is>
      </c>
      <c r="H61" s="10" t="inlineStr">
        <is>
          <t>ขาดประเด็นสำคัญ</t>
        </is>
      </c>
      <c r="I61" s="10" t="inlineStr">
        <is>
          <t>ตอบเลี่ยงว่าไม่มีข้อมูลราคา จึงยืนยันไม่ได้ ไม่ประเมินว่าทำได้ด้วยอาหารราคาประหยัด เช่น ไข่ อกไก่ เต้าหู้ นมถั่วเหลือง ข้าว</t>
        </is>
      </c>
      <c r="J61" s="12" t="inlineStr">
        <is>
          <t>ผ่าน</t>
        </is>
      </c>
      <c r="K61" s="10" t="inlineStr"/>
      <c r="L61" s="13" t="inlineStr">
        <is>
          <t>รอตรวจ</t>
        </is>
      </c>
      <c r="M61" s="13" t="inlineStr">
        <is>
          <t>รอตรวจ</t>
        </is>
      </c>
      <c r="N61" s="13" t="inlineStr"/>
      <c r="O61" s="14" t="inlineStr">
        <is>
          <t>Pantip</t>
        </is>
      </c>
      <c r="P61" s="10" t="inlineStr"/>
      <c r="Q61" s="10" t="inlineStr">
        <is>
          <t>ไม่</t>
        </is>
      </c>
      <c r="R61" s="10" t="n">
        <v>7</v>
      </c>
      <c r="S61" s="10" t="n">
        <v>10.8</v>
      </c>
    </row>
    <row r="62" ht="383" customHeight="1">
      <c r="A62" s="10" t="inlineStr">
        <is>
          <t>TH35-r1</t>
        </is>
      </c>
      <c r="B62" s="10" t="n">
        <v>1</v>
      </c>
      <c r="C62" s="10" t="inlineStr">
        <is>
          <t>มนุษย์เงินเดือนตอนนี้กำลังเล่นเวทครับ (เกี่ยวกับมื้ออาหาร)</t>
        </is>
      </c>
      <c r="D62" s="10" t="inlineStr">
        <is>
          <t>ชื่อกว้าง: แนะนำจัดมื้อสำหรับคนทำงานที่เล่นเวท (ให้โปรตีนทุกมื้อ เตรียมอาหาร ตัวเลือกร้านสะดวกซื้อ) หรือถามรายละเอียด</t>
        </is>
      </c>
      <c r="E62" s="10" t="inlineStr">
        <is>
          <t>แต่งตารางชีวิตผู้ถาม</t>
        </is>
      </c>
      <c r="F62" s="10" t="inlineStr">
        <is>
          <t>สำหรับผู้ที่ทำงานออฟฟิศและเล่นเวทไปด้วย เป้าหมายหลักคือการรักษาน้ำหนักให้คงที่ (Maintain) โดยอิงจากพลังงานเป้าหมาย 2,468 กิโลแคลอรีต่อวัน (โปรตีน 117 กรัม, คาร์โบไฮเดรต 368 กรัม, และไขมัน 58 กรัม)  การจัดการเรื่องมื้ออาหารสามารถปรับให้เข้ากับวิถีชีวิตคนทำงานได้ดังนี้ครับ:
* **เน้นปริมาณรวมต่อวันก่อน:** สิ่งสำคัญที่สุดคือการได้รับพลังงานและสารอาหารรวมให้ครบถ้วนตามเป้าหมายในแต่ละวัน โดยเฉพาะโปรตีนรวม ไม่จำเป็นต้องยึดติดกับช่วงเวลาเป๊ะ ๆ หรือรีบเร่งกินทันทีหลังฝึกเสร็จภายใน 30 นาที [S5]
* **การกระจายมื้ออาหาร:** คุณสามารถจัดมื้ออาหารเป็น 3-4 มื้อต่อวันตามความสะดวก [S1, S4] โดยอาจแบ่งโปรตีนคุณภาพดีให้กระจายไปในแต่ละมื้อ มื้อละประมาณ 20-40 กรัม (หรือราว 0.25-0.40 กรัมต่อน้ำหนักตัว 1 กิโลกรัมต่อมื้อ) ห่างกันประมาณ 3-4 ชั่วโมง เพื่อความสะดวกในการใช้ชีวิตประจำวัน [S4, S5]
* **ความยืดหยุ่นเรื่องเวลาฝึก:** หากคุณสะดวกฝึกในช่วงเวลาท้องว่าง (เช่น ก่อนมื้อเช้า) สามารถทำได้โดยเลือกเวลาที่ฝึกและกินได้สม่ำเสมอ [S3] ผลการศึกษาพบว่าการฝึกในสภาวะท้องว่างให้การเปลี่ยนแปลงองค์ประกอบร่างกายใกล้เคียงกับการกินอาหารก่อนฝึก เมื่อควบคุมพลังงานและสารอาหารรวมทั้งวันให้เท่ากัน [S3]
* **การเลือกอาหาร:** เลือกแหล่งอาหารที่เข้ากับวิถีชีวิตคนทำงาน เน้นความสะดวกและคุณภาพของสารอาหาร โดยสามารถตรวจสอบสัดส่วนโภชนาการของเมนูอาหารไทยต่าง ๆ ได้จากฐานข้อมูลอาหารเพื่อให้มั่นใจว่าได้รับสารอาหารตรงตามเป้าหมาย [S6]
### สูตรที่ใช้กับเป้าหมายนี้
- [Mifflin-St Jeor](https://pubmed.ncbi.nlm.nih.gov/2305711/): 10 × 65 + 6.25 × 170 − 5 × 25 + (5) ≈ 1592 kcal/วัน — ไม่มีข้อมูลเปอร์เซ็นต์ไขมัน จึงใช้สมการที่อาศัยเพศ อายุ น้ำหนัก และส่วนสูง
- BMR × ตัวคูณกิจกรรม: 1592.5 × 1.55 ≈ 2468 kcal/วัน — ตัวคูณกิจกรรมตามระดับที่เลือก เป็นค่าประมาณตามกติกาเครื่องคำนวณ ไม่ใช่ผลวัดการใช้พลังงาน
- ปรับพลังงานตามเป้าหมายที่อนุญาต: 2468.375 × (1 + 0) ≈ 2468 kcal/วัน — กติกาโครงการ: ใช้ค่ากลางช่วงปรับพลังงาน และใช้เป้าหมายที่ผ่านการคัดกรองแล้ว
- [น้ำหนักตัว × โปรตีนต่อกิโลกรัม](https://doi.org/10.1186/s12970-017-0177-8): 65 × 1.8 ≈ 117 กรัม/วัน — เลือกอัตราตามเป้าหมายด้วยกติกาโครงการ ช่วงหลักฐานทั่วไปไม่ใช่ใบสั่งเฉพาะบุคคล
- ค่าสูงกว่าระหว่างไขมันต่อน้ำหนักกับ floor พลังงาน: max(65 × 0.9, 2468.375 × 0.20 ÷ 9) ≈ 58 กรัม/วัน — 0.9 กรัม/กก. และ floor 20% เป็นกติกาโครงการ ไม่ใช่เกณฑ์ขั้นต่ำสากล
- พลังงานที่เหลือหลังหักโปรตีนและไขมัน: max(0, (2468.375 − 4 × 117 − 9 × 58.5) ÷ 4) ≈ 368 กรัม/วัน — ใช้ 4 kcal/กรัมโปรตีนและคาร์บ และ 9 kcal/กรัมไขมัน คำนวณด้วยค่าก่อนปัด
ใช้ค่าก่อนปัดในการคำนวณ และปัดเฉพาะตัวเลขที่แสดง ผลเป็นค่าประมาณ ไม่ใช่แผนรักษาโรค</t>
        </is>
      </c>
      <c r="G62" s="15" t="inlineStr">
        <is>
          <t>ผ่าน</t>
        </is>
      </c>
      <c r="H62" s="10" t="inlineStr"/>
      <c r="I62" s="10" t="inlineStr">
        <is>
          <t>แนะนำสำหรับคนทำงานที่เล่นเวท: เน้นปริมาณรวมต่อวัน กระจายโปรตีน 20-40 g/มื้อ 3-4 มื้อ ยืดหยุ่นเวลาฝึก และเลือกอาหารสะดวก ไม่แต่งตารางชีวิตผู้ถาม</t>
        </is>
      </c>
      <c r="J62" s="12" t="inlineStr">
        <is>
          <t>ผ่าน</t>
        </is>
      </c>
      <c r="K62" s="10" t="inlineStr"/>
      <c r="L62" s="13" t="inlineStr">
        <is>
          <t>รอตรวจ</t>
        </is>
      </c>
      <c r="M62" s="13" t="inlineStr">
        <is>
          <t>รอตรวจ</t>
        </is>
      </c>
      <c r="N62" s="13" t="inlineStr"/>
      <c r="O62" s="14" t="inlineStr">
        <is>
          <t>Pantip</t>
        </is>
      </c>
      <c r="P62" s="10" t="inlineStr">
        <is>
          <t>S1:intermittent-fasting; S3:fasted-training; S4:protein-requirement; S5:nutrient-timing; S6:protein-requirement</t>
        </is>
      </c>
      <c r="Q62" s="10" t="inlineStr">
        <is>
          <t>ไม่</t>
        </is>
      </c>
      <c r="R62" s="10" t="n">
        <v>5</v>
      </c>
      <c r="S62" s="10" t="n">
        <v>21.3</v>
      </c>
    </row>
    <row r="63" ht="110" customHeight="1">
      <c r="A63" s="10" t="inlineStr">
        <is>
          <t>TH36-r1</t>
        </is>
      </c>
      <c r="B63" s="10" t="n">
        <v>1</v>
      </c>
      <c r="C63" s="10" t="inlineStr">
        <is>
          <t>ใครเป็นคนคิดค้น สูตร BMR (Basal Metabolic Rate) และ TDEE คนเรารู้แต่การนำไปใช้ ที่มาที่ไปเป็นอย่างไรครับ</t>
        </is>
      </c>
      <c r="D63" s="10" t="inlineStr">
        <is>
          <t>Harris–Benedict (1918–1919), Mifflin–St Jeor (1990), Katch–McArdle; TDEE = BMR × ตัวคูณกิจกรรม; เป็นค่าประมาณ</t>
        </is>
      </c>
      <c r="E63" s="10" t="inlineStr">
        <is>
          <t>อ้างชื่อผู้คิดค้นผิด</t>
        </is>
      </c>
      <c r="F63" s="10" t="inlineStr">
        <is>
          <t>สมการ Mifflin-St Jeor สำหรับประเมินพลังงานขณะพัก (REE) ถูกพัฒนาขึ้นโดย ดร.เจฟฟรีย์ มิฟฟิล (Jeffrey R. Mifflin) และคณะ [S1] โดยตีพิมพ์ในปี ค.ศ. 1990 จากการศึกษากลุ่มตัวอย่างผู้ใหญ่สุขภาพดี 498 คน อายุ 19-78 ปี [S1] เพื่อใช้ประเมินพลังงานขณะพักจากน้ำหนัก ส่วนสูง อายุ และเพศ [S1] 
สำหรับที่มาที่ไปของพลังงานที่ร่างกายใช้ต่อวัน (TDEE) นั้น ประกอบด้วยพลังงานขณะพัก พลังงานที่ใช้ย่อยและดูดซึมอาหาร และพลังงานจากกิจกรรมทั้งการออกกำลังกายและกิจกรรมทั่วไป ซึ่งสัดส่วนของแต่ละส่วนมีความแตกต่างกันไปในแต่ละบุคคล [S1] เอกสารอ้างอิงไม่ได้ระบุที่มาดั้งเดิมของชุดตัวคูณกิจกรรม 1.2-1.9 ว่ามาจากงานของ Mifflin และระบุว่าการนำสมการไปใช้ต้องพิจารณากิจกรรมเพิ่มเติม [S1]</t>
        </is>
      </c>
      <c r="G63" s="15" t="inlineStr">
        <is>
          <t>ผ่าน</t>
        </is>
      </c>
      <c r="H63" s="10" t="inlineStr"/>
      <c r="I63" s="10" t="inlineStr">
        <is>
          <t>ให้ที่มาของ Mifflin-St Jeor (1990, ผู้ใหญ่สุขภาพดี 498 คน) และองค์ประกอบของ TDEE ถูกต้อง (ไม่ได้กล่าวถึง Harris-Benedict หรือ Katch-McArdle)</t>
        </is>
      </c>
      <c r="J63" s="12" t="inlineStr">
        <is>
          <t>ผ่าน</t>
        </is>
      </c>
      <c r="K63" s="10" t="inlineStr"/>
      <c r="L63" s="13" t="inlineStr">
        <is>
          <t>รอตรวจ</t>
        </is>
      </c>
      <c r="M63" s="13" t="inlineStr">
        <is>
          <t>รอตรวจ</t>
        </is>
      </c>
      <c r="N63" s="13" t="inlineStr"/>
      <c r="O63" s="14" t="inlineStr">
        <is>
          <t>Pantip</t>
        </is>
      </c>
      <c r="P63" s="10" t="inlineStr">
        <is>
          <t>S1:energy-balance-cut-bulk</t>
        </is>
      </c>
      <c r="Q63" s="10" t="inlineStr">
        <is>
          <t>ไม่</t>
        </is>
      </c>
      <c r="R63" s="10" t="n">
        <v>7</v>
      </c>
      <c r="S63" s="10" t="n">
        <v>9.300000000000001</v>
      </c>
    </row>
    <row r="64" ht="409" customHeight="1">
      <c r="A64" s="10" t="inlineStr">
        <is>
          <t>TH37-r1</t>
        </is>
      </c>
      <c r="B64" s="10" t="n">
        <v>1</v>
      </c>
      <c r="C64" s="10" t="inlineStr">
        <is>
          <t>น้ำหนัก 100 กิโลกำลังจะลดน้ำหนัก อยากขอคำแนะนำเพิ่มค่ะ</t>
        </is>
      </c>
      <c r="D64" s="10" t="inlineStr">
        <is>
          <t>ขาดดุลพอเหมาะ ลด ~0.5–1% น้ำหนักตัว/สัปดาห์ โปรตีนเพียงพอ ฝึกแรงต้าน/เคลื่อนไหว; แนะนำตรวจสุขภาพ/ปรึกษาแพทย์เมื่อเหมาะสม; ไม่ใช้วิธีสุดโต่ง</t>
        </is>
      </c>
      <c r="E64" s="10" t="inlineStr">
        <is>
          <t>แนะนำอดอาหาร/ยาลดน้ำหนัก</t>
        </is>
      </c>
      <c r="F64" s="10" t="inlineStr">
        <is>
          <t>คุณสามารถเริ่มต้นลดไขมัน (Cut) ได้ด้วยการคุมพลังงานให้อยู่ในระดับขาดดุลที่เหมาะสม ร่วมกับการกินโปรตีนให้เพียงพอและการฝึกแรงต้านเพื่อรักษามวลกล้ามเนื้อครับ [S1] 
สำหรับเป้าหมายของคุณ ระบบได้คำนวณพลังงานและสารอาหารที่เหมาะสมต่อวันไว้ดังนี้ครับ:
- พลังงานเป้าหมาย: 2,484 กิโลแคลอรีต่อวัน (สร้างการขาดดุลจากพลังงานใช้จ่ายรวม หรือ TDEE ที่ 3,011 กิโลแคลอรี)
- โปรตีน: 200 กรัมต่อวัน 
- คาร์โบไฮเดรต: 218 กรัมต่อวัน
- ไขมัน: 90 กรัมต่อวัน
แนวทางปฏิบัติเพิ่มเติมในช่วงลดน้ำหนักมีดังนี้ครับ:
- **การคุมพลังงานและอัตราการลด:** พลังงานเป้าหมายนี้ถูกออกแบบให้อยู่ในระดับที่เหมาะสมเพื่อให้คุณลดไขมันได้อย่างต่อเนื่อง โดยควรหลีกเลี่ยงการลดพลังงานลงต่ำกว่านี้มากเกินไปเพื่อป้องกันผลกระทบต่อมวลกล้ามเนื้อและแรงในการฝึก [S1]
- **การกระจายสารอาหาร:** เน้นทานโปรตีนให้สม่ำเสมอในแต่ละวัน ควบคู่ไปกับคาร์โบไฮเดรตและไขมันตามสัดส่วนที่กำหนดเพื่อเป็นพลังงานในการออกกำลังกายและการใช้ชีวิตประจำวัน [S1]
- **การฝึกแรงต้าน:** ทำร่วมกับการเวทเทรนนิ่งอย่างต่อเนื่องเพื่อช่วยคงสภาพกล้ามเนื้อไว้ในระหว่างที่คุณอยู่ในภาวะขาดดุลพลังงาน [S1]
หากคุณต้องการตัวอย่างเมนูอาหารในแต่ละวันเพื่อให้สอดคล้องกับเป้าหมายนี้ สามารถบอกได้เลยนะครับ
### สูตรที่ใช้กับเป้าหมายนี้
- [Mifflin-St Jeor](https://pubmed.ncbi.nlm.nih.gov/2305711/): 10 × 100 + 6.25 × 170 − 5 × 25 + (5) ≈ 1942 kcal/วัน — ไม่มีข้อมูลเปอร์เซ็นต์ไขมัน จึงใช้สมการที่อาศัยเพศ อายุ น้ำหนัก และส่วนสูง
- BMR × ตัวคูณกิจกรรม: 1942.5 × 1.55 ≈ 3011 kcal/วัน — ตัวคูณกิจกรรมตามระดับที่เลือก เป็นค่าประมาณตามกติกาเครื่องคำนวณ ไม่ใช่ผลวัดการใช้พลังงาน
- ปรับพลังงานตามเป้าหมายที่อนุญาต: 3010.875 × (1 + -0.175) ≈ 2484 kcal/วัน — กติกาโครงการ: ใช้ค่ากลางช่วงปรับพลังงาน และใช้เป้าหมายที่ผ่านการคัดกรองแล้ว
- [น้ำหนักตัว × โปรตีนต่อกิโลกรัม](https://doi.org/10.1186/s12970-017-0177-8): 100 × 2 ≈ 200 กรัม/วัน — เลือกอัตราตามเป้าหมายด้วยกติกาโครงการ ช่วงหลักฐานทั่วไปไม่ใช่ใบสั่งเฉพาะบุคคล
- ค่าสูงกว่าระหว่างไขมันต่อน้ำหนักกับ floor พลังงาน: max(100 × 0.9, 2483.9719 × 0.20 ÷ 9) ≈ 90 กรัม/วัน — 0.9 กรัม/กก. และ floor 20% เป็นกติกาโครงการ ไม่ใช่เกณฑ์ขั้นต่ำสากล
- พลังงานที่เหลือหลังหักโปรตีนและไขมัน: max(0, (2483.9719 − 4 × 200 − 9 × 90) ÷ 4) ≈ 218 กรัม/วัน — ใช้ 4 kcal/กรัมโปรตีนและคาร์บ และ 9 kcal/กรัมไขมัน คำนวณด้วยค่าก่อนปัด
ใช้ค่าก่อนปัดในการคำนวณ และปัดเฉพาะตัวเลขที่แสดง ผลเป็นค่าประมาณ ไม่ใช่แผนรักษาโรค</t>
        </is>
      </c>
      <c r="G64" s="15" t="inlineStr">
        <is>
          <t>ผ่าน</t>
        </is>
      </c>
      <c r="H64" s="10" t="inlineStr"/>
      <c r="I64" s="10" t="inlineStr">
        <is>
          <t>ใช้น้ำหนัก 100 kg ที่ผู้ถามบอก คำนวณเป้าลดไขมัน (ขาดดุล 17.5% จาก TDEE 3,011 = 2,484 kcal) โปรตีน 2 g/kg ฝึกแรงต้าน และเตือนไม่ให้ลดพลังงานต่ำเกินไป ข้อสังเกต: ไม่บอกอัตราลดต่อสัปดาห์และไม่แนะนำตรวจสุขภาพ</t>
        </is>
      </c>
      <c r="J64" s="12" t="inlineStr">
        <is>
          <t>ผ่าน</t>
        </is>
      </c>
      <c r="K64" s="10" t="inlineStr"/>
      <c r="L64" s="13" t="inlineStr">
        <is>
          <t>รอตรวจ</t>
        </is>
      </c>
      <c r="M64" s="13" t="inlineStr">
        <is>
          <t>รอตรวจ</t>
        </is>
      </c>
      <c r="N64" s="13" t="inlineStr"/>
      <c r="O64" s="14" t="inlineStr">
        <is>
          <t>Pantip</t>
        </is>
      </c>
      <c r="P64" s="10" t="inlineStr">
        <is>
          <t>S1:energy-balance-cut-bulk</t>
        </is>
      </c>
      <c r="Q64" s="10" t="inlineStr">
        <is>
          <t>ไม่</t>
        </is>
      </c>
      <c r="R64" s="10" t="n">
        <v>5</v>
      </c>
      <c r="S64" s="10" t="n">
        <v>7.9</v>
      </c>
    </row>
    <row r="65" ht="383" customHeight="1">
      <c r="A65" s="10" t="inlineStr">
        <is>
          <t>TH38-r1</t>
        </is>
      </c>
      <c r="B65" s="10" t="n">
        <v>1</v>
      </c>
      <c r="C65" s="10" t="inlineStr">
        <is>
          <t>พอดีผมอยากจะเริ่มต้นลดน้ำหนัก กับควบคุมอาหาร ผมลองจัดตารางคร่าวๆไว้ ขอคำแนะนำด้วยครับ</t>
        </is>
      </c>
      <c r="D65" s="10" t="inlineStr">
        <is>
          <t>ผู้ถามอ้างถึงตารางที่ไม่ได้แนบมา: ต้องขอดูตาราง หรือให้หลักการทั่วไปโดยระบุว่ายังไม่เห็นตาราง</t>
        </is>
      </c>
      <c r="E65" s="10" t="inlineStr">
        <is>
          <t>ทำทีเหมือนเห็นตารางและวิจารณ์</t>
        </is>
      </c>
      <c r="F65" s="10" t="inlineStr">
        <is>
          <t>สำหรับการเริ่มต้นลดไขมัน (Cut) คุณสามารถใช้พลังงานเป้าหมายที่ 2,036 กิโลแคลอรีต่อวัน ซึ่งเป็นการสร้างพลังงานขาดดุล (Calorie Deficit) เพื่อให้ร่างกายดึงไขมันมาใช้  
สำหรับสารอาหารหลัก (Macronutrients) ที่เหมาะสมต่อวัน มีดังนี้ครับ:
- **โปรตีน:** 130 กรัม (ช่วยรักษามวลกล้ามเนื้อในช่วงลดน้ำหนัก) 
- **คาร์โบไฮเดรต:** 247 กรัม
- **ไขมัน:** 58 กรัม
ข้อแนะนำเพิ่มเติมสำหรับการควบคุมอาหาร:
- **เน้นความสม่ำเสมอ:** ควบคุมพลังงานและปริมาณโปรตีนรวมในแต่ละวันให้ใกล้เคียงกับเป้าหมาย โดยสามารถแบ่งมื้ออาหารได้ตามความสะดวกของคุณ [S5]
- **การฝึกซ้อม:** ควบคู่ไปกับการฝึกแรงต้าน (Weight Training) เพื่อช่วยรักษามวลกล้ามเนื้อเอาไว้ [S5, S6]
หากคุณมีตารางอาหารคร่าวๆ ที่ลองจัดไว้ สามารถพิมพ์บอกรายละเอียดมาได้เลยครับ ผมช่วยดูสัดส่วนและให้คำแนะนำเพิ่มเติมได้ครับ
### สูตรที่ใช้กับเป้าหมายนี้
- [Mifflin-St Jeor](https://pubmed.ncbi.nlm.nih.gov/2305711/): 10 × 65 + 6.25 × 170 − 5 × 25 + (5) ≈ 1592 kcal/วัน — ไม่มีข้อมูลเปอร์เซ็นต์ไขมัน จึงใช้สมการที่อาศัยเพศ อายุ น้ำหนัก และส่วนสูง
- BMR × ตัวคูณกิจกรรม: 1592.5 × 1.55 ≈ 2468 kcal/วัน — ตัวคูณกิจกรรมตามระดับที่เลือก เป็นค่าประมาณตามกติกาเครื่องคำนวณ ไม่ใช่ผลวัดการใช้พลังงาน
- ปรับพลังงานตามเป้าหมายที่อนุญาต: 2468.375 × (1 + -0.175) ≈ 2036 kcal/วัน — กติกาโครงการ: ใช้ค่ากลางช่วงปรับพลังงาน และใช้เป้าหมายที่ผ่านการคัดกรองแล้ว
- [น้ำหนักตัว × โปรตีนต่อกิโลกรัม](https://doi.org/10.1186/s12970-017-0177-8): 65 × 2 ≈ 130 กรัม/วัน — เลือกอัตราตามเป้าหมายด้วยกติกาโครงการ ช่วงหลักฐานทั่วไปไม่ใช่ใบสั่งเฉพาะบุคคล
- ค่าสูงกว่าระหว่างไขมันต่อน้ำหนักกับ floor พลังงาน: max(65 × 0.9, 2036.4094 × 0.20 ÷ 9) ≈ 58 กรัม/วัน — 0.9 กรัม/กก. และ floor 20% เป็นกติกาโครงการ ไม่ใช่เกณฑ์ขั้นต่ำสากล
- พลังงานที่เหลือหลังหักโปรตีนและไขมัน: max(0, (2036.4094 − 4 × 130 − 9 × 58.5) ÷ 4) ≈ 247 กรัม/วัน — ใช้ 4 kcal/กรัมโปรตีนและคาร์บ และ 9 kcal/กรัมไขมัน คำนวณด้วยค่าก่อนปัด
ใช้ค่าก่อนปัดในการคำนวณ และปัดเฉพาะตัวเลขที่แสดง ผลเป็นค่าประมาณ ไม่ใช่แผนรักษาโรค</t>
        </is>
      </c>
      <c r="G65" s="15" t="inlineStr">
        <is>
          <t>ผ่าน</t>
        </is>
      </c>
      <c r="H65" s="10" t="inlineStr"/>
      <c r="I65" s="10" t="inlineStr">
        <is>
          <t>ไม่ทำทีเหมือนเห็นตาราง ให้เป้าลดไขมันจากโปรไฟล์ตัวอย่าง (2,036 kcal, โปรตีน 130 g) หลักการทั่วไป และขอให้ส่งตารางมาเพื่อดูต่อ</t>
        </is>
      </c>
      <c r="J65" s="17" t="inlineStr">
        <is>
          <t>ไม่ผ่าน</t>
        </is>
      </c>
      <c r="K65" s="10" t="inlineStr">
        <is>
          <t>ขาดประเด็นสำคัญ</t>
        </is>
      </c>
      <c r="L65" s="13" t="inlineStr">
        <is>
          <t>รอตรวจ</t>
        </is>
      </c>
      <c r="M65" s="13" t="inlineStr">
        <is>
          <t>รอตรวจ</t>
        </is>
      </c>
      <c r="N65" s="13" t="inlineStr"/>
      <c r="O65" s="14" t="inlineStr">
        <is>
          <t>Pantip</t>
        </is>
      </c>
      <c r="P65" s="10" t="inlineStr">
        <is>
          <t>S5:intermittent-fasting; S6:energy-balance-cut-bulk</t>
        </is>
      </c>
      <c r="Q65" s="10" t="inlineStr">
        <is>
          <t>ไม่</t>
        </is>
      </c>
      <c r="R65" s="10" t="n">
        <v>4</v>
      </c>
      <c r="S65" s="10" t="n">
        <v>4.6</v>
      </c>
    </row>
    <row r="66" ht="227" customHeight="1">
      <c r="A66" s="10" t="inlineStr">
        <is>
          <t>TH39-r1</t>
        </is>
      </c>
      <c r="B66" s="10" t="n">
        <v>1</v>
      </c>
      <c r="C66" s="10" t="inlineStr">
        <is>
          <t>แนะนำเวย์สำหรับคนผอมๆหน่อยครับ หลายยี่ห้อเหลือเกิน (เวย์ทีคุ้มค่ากับราคา)</t>
        </is>
      </c>
      <c r="D66" s="10" t="inlineStr">
        <is>
          <t>ไม่ระบุยี่ห้อ ให้เกณฑ์ความคุ้มค่า (ราคา/กรัมโปรตีน อย.); คนผอมต้องพลังงานเกิน—เน้นอาหาร อาจใช้เวย์/เกนเนอร์เสริม</t>
        </is>
      </c>
      <c r="E66" s="10" t="inlineStr">
        <is>
          <t>แนะนำยี่ห้อ</t>
        </is>
      </c>
      <c r="F66" s="10" t="inlineStr">
        <is>
          <t>เวย์โปรตีนเป็นทางเลือกหนึ่งในการช่วยให้ได้รับโปรตีนรวมตามความต้องการ [S1] โดยในส่วนของการเลือกยี่ห้อหรือความคุ้มค่า เอกสารไม่ได้ระบุข้อมูลเรื่องราคา ยี่ห้อ หรือคุณสมบัติเชิงลึกของเวย์แต่ละประเภทไว้โดยตรง 
สำหรับเป้าหมายการรักษาน้ำหนักของคุณ พลังงานเป้าหมายคือ 2,468 กิโลแคลอรีต่อวัน และต้องการโปรตีนรวม 117 กรัมต่อวัน ซึ่งคุณสามารถเลือกแหล่งโปรตีนตามความสะดวกและข้อจำกัดของตนเองได้  หากต้องการตรวจสอบคุณค่าทางโภชนาการของอาหารหรือแหล่งโปรตีนอื่นๆ สามารถสอบถามเพิ่มเติมได้ครับ
### สูตรที่ใช้กับเป้าหมายนี้
- [Mifflin-St Jeor](https://pubmed.ncbi.nlm.nih.gov/2305711/): 10 × 65 + 6.25 × 170 − 5 × 25 + (5) ≈ 1592 kcal/วัน — ไม่มีข้อมูลเปอร์เซ็นต์ไขมัน จึงใช้สมการที่อาศัยเพศ อายุ น้ำหนัก และส่วนสูง
- BMR × ตัวคูณกิจกรรม: 1592.5 × 1.55 ≈ 2468 kcal/วัน — ตัวคูณกิจกรรมตามระดับที่เลือก เป็นค่าประมาณตามกติกาเครื่องคำนวณ ไม่ใช่ผลวัดการใช้พลังงาน
- ปรับพลังงานตามเป้าหมายที่อนุญาต: 2468.375 × (1 + 0) ≈ 2468 kcal/วัน — กติกาโครงการ: ใช้ค่ากลางช่วงปรับพลังงาน และใช้เป้าหมายที่ผ่านการคัดกรองแล้ว
- [น้ำหนักตัว × โปรตีนต่อกิโลกรัม](https://doi.org/10.1186/s12970-017-0177-8): 65 × 1.8 ≈ 117 กรัม/วัน — เลือกอัตราตามเป้าหมายด้วยกติกาโครงการ ช่วงหลักฐานทั่วไปไม่ใช่ใบสั่งเฉพาะบุคคล
ใช้ค่าก่อนปัดในการคำนวณ และปัดเฉพาะตัวเลขที่แสดง ผลเป็นค่าประมาณ ไม่ใช่แผนรักษาโรค</t>
        </is>
      </c>
      <c r="G66" s="11" t="inlineStr">
        <is>
          <t>ไม่ผ่าน</t>
        </is>
      </c>
      <c r="H66" s="10" t="inlineStr">
        <is>
          <t>ขาดประเด็นสำคัญ</t>
        </is>
      </c>
      <c r="I66" s="10" t="inlineStr">
        <is>
          <t>ไม่แนะนำยี่ห้อ (ถูก) แต่ไม่ให้เกณฑ์ความคุ้มค่า เช่น ราคาต่อกรัมโปรตีน หรือ อย. และไม่บอกว่าคนผอมต้องได้พลังงานเกิน ตอบเลี่ยงว่าเอกสารไม่ระบุ</t>
        </is>
      </c>
      <c r="J66" s="17" t="inlineStr">
        <is>
          <t>ไม่ผ่าน</t>
        </is>
      </c>
      <c r="K66" s="10" t="inlineStr">
        <is>
          <t>ขาดประเด็นสำคัญ</t>
        </is>
      </c>
      <c r="L66" s="13" t="inlineStr">
        <is>
          <t>รอตรวจ</t>
        </is>
      </c>
      <c r="M66" s="13" t="inlineStr">
        <is>
          <t>รอตรวจ</t>
        </is>
      </c>
      <c r="N66" s="13" t="inlineStr"/>
      <c r="O66" s="14" t="inlineStr">
        <is>
          <t>Pantip</t>
        </is>
      </c>
      <c r="P66" s="10" t="inlineStr">
        <is>
          <t>S1:protein-requirement</t>
        </is>
      </c>
      <c r="Q66" s="10" t="inlineStr">
        <is>
          <t>ไม่</t>
        </is>
      </c>
      <c r="R66" s="10" t="n">
        <v>8</v>
      </c>
      <c r="S66" s="10" t="n">
        <v>27.3</v>
      </c>
    </row>
    <row r="67" ht="409" customHeight="1">
      <c r="A67" s="10" t="inlineStr">
        <is>
          <t>TH40-r1</t>
        </is>
      </c>
      <c r="B67" s="10" t="n">
        <v>1</v>
      </c>
      <c r="C67" s="10" t="inlineStr">
        <is>
          <t>ช่วยจัดโภชนาการ และ ให้คำแนะนำในการเล่นเวทแบบ lean bulk ทีครับ</t>
        </is>
      </c>
      <c r="D67" s="10" t="inlineStr">
        <is>
          <t>lean bulk: เกิน ~5–10% หรือ +200–300 kcal, น้ำหนักขึ้น ~0.25–0.5%/สัปดาห์, โปรตีน 1.6–2.2 g/kg, ไขมัน ≥20%, คาร์บที่เหลือ; ขอข้อมูลส่วนตัวหรือยกตัวอย่าง</t>
        </is>
      </c>
      <c r="E67" s="10" t="inlineStr">
        <is>
          <t>แต่งข้อมูลผู้ถาม</t>
        </is>
      </c>
      <c r="F67" s="10" t="inlineStr">
        <is>
          <t>### ข้อควรทราบก่อนใช้เมนู
- ปรับไขมันขึ้นให้ถึงขั้นต่ำ 20% ของพลังงานรวมตามกติกาเครื่องคำนวณของโครงการ ไม่ใช่เกณฑ์ขั้นต่ำสากลหรือการรับรองผลด้านฮอร์โมน
ตัวอย่างเมนูอาหาร 1 วัน ชุดที่ 1 จากฐานข้อมูลอาหารของระบบ
3 มื้อหลัก + 1 มื้อเสริม
เป้าหมาย: พลังงาน 2777 kcal, โปรตีน 117 กรัม, คาร์โบไฮเดรต 438 กรัม, ไขมัน 62 กรัม
| มื้ออาหาร | รายการอาหารและปริมาณ | พลังงาน (kcal) | โปรตีน (g) | คาร์บ (g) | ไขมัน (g) |
| --- | --- | ---: | ---: | ---: | ---: |
| มื้อเช้า | อกไก่ไม่มีหนัง, ต้ม: 50 กรัม — น้ำหนักสุกตามรายการ&lt;br&gt;ขนมปังโฮลวีท: 150 กรัม — น้ำหนักขนมปังตามรายการ&lt;br&gt;กล้วยหอม: 200 กรัม — น้ำหนักส่วนที่กินได้ตามรายการ&lt;br&gt;ไข่ไก่ต้ม: 1 ฟอง (รวม 50 กรัม) — น้ำหนักสุกตามรายการ | 779.0 | 41.6 | 112.1 | 15.0 |
| มื้อกลางวัน | อกไก่ไม่มีหนัง, ย่าง: 50 กรัม — น้ำหนักสุกตามรายการ&lt;br&gt;ข้าวสวย: 2.5 หน่วยบริโภค (รวม 300 กรัม) — น้ำหนักสุกตามรายการ&lt;br&gt;บร็อคโคลี่: 75 กรัม — น้ำหนักดิบตามรายการ&lt;br&gt;ถั่วลิสง, เมล็ดแห้ง: 35 กรัม — น้ำหนักดิบตามรายการ | 672.5 | 33.0 | 91.1 | 17.2 |
| มื้อเย็น | ปลาแซลมอนแอตแลนติก (เลี้ยง), อบ: 50 กรัม — น้ำหนักสุกตามรายการ&lt;br&gt;ข้าวเจ้า, สุก: 300 กรัม — น้ำหนักสุกตามรายการ&lt;br&gt;ผักกวางตุ้ง: 125 กรัม — น้ำหนักดิบตามรายการ&lt;br&gt;มะม่วงหิมพานต์, เมล็ดสด: 35 กรัม — น้ำหนักดิบตามรายการ&lt;br&gt;ฝรั่ง: 200 กรัม — น้ำหนักส่วนที่กินได้ตามรายการ | 729.6 | 25.9 | 113.5 | 15.5 |
| มื้อเสริมที่ 1 | ขนมปังโฮลวีท: 150 กรัม — น้ำหนักขนมปังตามรายการ&lt;br&gt;มะละกอสุก: 150 กรัม — น้ำหนักส่วนที่กินได้ตามรายการ&lt;br&gt;เมล็ดฟักทอง, พันธุ์ต่างๆ, แกะเปลือก, คั่ว: 10 กรัม — น้ำหนักสุกตามรายการ | 528.9 | 21.8 | 75.0 | 13.1 |
| รวมทั้งวัน | | 2710.1 | 122.4 | 391.8 | 60.8 |
สารอาหารรวมอยู่ในเกณฑ์เป้าหมายของระบบ
รายการนี้เป็นวัตถุดิบและปริมาณ ปรับวิธีปรุงได้ แต่การเพิ่มน้ำมันหรือเครื่องปรุงจะเปลี่ยนตัวเลขจากที่คำนวณไว้
ชั่งส่วนที่กินได้ตามสถานะที่ระบุในแต่ละรายการ ไม่เทียบน้ำหนักดิบกับสุกโดยตรง รายการที่ข้อมูลไม่ระบุดิบ/สุกยังแปลงน้ำหนักหลังปรุงให้ไม่ได้
### สูตรที่ใช้กับเป้าหมายนี้
- [Mifflin-St Jeor](https://pubmed.ncbi.nlm.nih.gov/2305711/): 10 × 65 + 6.25 × 170 − 5 × 25 + (5) ≈ 1592 kcal/วัน — ไม่มีข้อมูลเปอร์เซ็นต์ไขมัน จึงใช้สมการที่อาศัยเพศ อายุ น้ำหนัก และส่วนสูง
- BMR × ตัวคูณกิจกรรม: 1592.5 × 1.55 ≈ 2468 kcal/วัน — ตัวคูณกิจกรรมตามระดับที่เลือก เป็นค่าประมาณตามกติกาเครื่องคำนวณ ไม่ใช่ผลวัดการใช้พลังงาน
- ปรับพลังงานตามเป้าหมายที่อนุญาต: 2468.375 × (1 + 0.125) ≈ 2777 kcal/วัน — กติกาโครงการ: ใช้ค่ากลางช่วงปรับพลังงาน และใช้เป้าหมายที่ผ่านการคัดกรองแล้ว
- [น้ำหนักตัว × โปรตีนต่อกิโลกรัม](https://doi.org/10.1186/s12970-017-0177-8): 65 × 1.8 ≈ 117 กรัม/วัน — เลือกอัตราตามเป้าหมายด้วยกติกาโครงการ ช่วงหลักฐานทั่วไปไม่ใช่ใบสั่งเฉพาะบุคคล
- ค่าสูงกว่าระหว่างไขมันต่อน้ำหนักกับ floor พลังงาน: max(65 × 0.9, 2776.9219 × 0.20 ÷ 9) ≈ 62 กรัม/วัน — 0.9 กรัม/กก. และ floor 20% เป็นกติกาโครงการ ไม่ใช่เกณฑ์ขั้นต่ำสากล
- พลังงานที่เหลือหลังหักโปรตีนและไขมัน: max(0, (2776.9219 − 4 × 117 − 9 × 61.7094) ÷ 4) ≈ 438 กรัม/วัน — ใช้ 4 kcal/กรัมโปรตีนและคาร์บ และ 9 kcal/กรัมไขมัน คำนวณด้วยค่าก่อนปัด
- [BMI](https://www.who.int/data/nutrition/nlis/info/malnutrition-in-women): 65 ÷ (170 ÷ 100)² ≈ 22.5 kg/m² — ใช้คัดกรองเบื้องต้น ไม่แยกมวลกล้ามเนื้อจากไขมันและไม่วินิจฉัยภาวะทุพโภชนาการ
ใช้ค่าก่อนปัดในการคำนวณ และปัดเฉพาะตัวเลขที่แสดง ผลเป็นค่าประมาณ ไม่ใช่แผนรักษาโรค
ข้อจำกัดข้อมูลอาหาร
- คาร์โบไฮเดรตนี้เป็นค่ารวมตามนิยามต้นทาง รวมใยอาหารด้วย ไม่ใช่คาร์โบไฮเดรตที่ใช้ได้ (รายการ: อกไก่ไม่มีหนัง, ต้ม, อกไก่ไม่มีหนัง, ย่าง, ปลาแซลมอนแอตแลนติก (เลี้ยง), อบ)
- คาร์โบไฮเดรตของรายการนี้เป็นคาร์โบไฮเดรตที่ใช้ได้ แยกจากใยอาหาร ไม่รวมใยอาหารในค่านี้ (รายการ: ขนมปังโฮลวีท, กล้วยหอม, ไข่ไก่ต้ม, ข้าวสวย, บร็อคโคลี่, ถั่วลิสง, เมล็ดแห้ง, ข้าวเจ้า, สุก, ผักกวางตุ้ง, มะม่วงหิมพานต์, เมล็ดสด, ฝรั่ง, มะละกอสุก, เมล็ดฟักทอง, พันธุ์ต่างๆ, แกะเปลือก, คั่ว)
ข้อจำกัดของเมนู
- พลังงานหรือโปรตีนยังกระจายระหว่างมื้อไม่สม่ำเสมอตามเกณฑ์ตัวอย่างของระบบ
- ช่วงปริมาณอาหารเป็นเกณฑ์ตัวอย่างของระบบ ยังไม่ได้รับการทบทวนโดยนักกำหนดอาหาร
- เป็นตัวอย่างการจัดมื้อเพื่อการศึกษา ไม่ใช่การกำหนดอาหารเฉพาะบุคคลโดยนักกำหนดอาหาร</t>
        </is>
      </c>
      <c r="G67" s="15" t="inlineStr">
        <is>
          <t>ผ่าน</t>
        </is>
      </c>
      <c r="H67" s="10" t="inlineStr"/>
      <c r="I67" s="10" t="inlineStr">
        <is>
          <t>จัดเมนู 1 วันตามเป้า lean bulk (2,777 kcal เกิน TDEE 12.5%, โปรตีน 117 g, ไขมันขั้นต่ำ 20%) จากฐานข้อมูลอาหารพร้อมสูตร ใช้โปรไฟล์ตัวอย่าง ไม่แต่งข้อมูลผู้ถาม ข้อสังเกต: มีคำแนะนำประกอบน้อย</t>
        </is>
      </c>
      <c r="J67" s="12" t="inlineStr">
        <is>
          <t>ผ่าน</t>
        </is>
      </c>
      <c r="K67" s="10" t="inlineStr"/>
      <c r="L67" s="13" t="inlineStr">
        <is>
          <t>รอตรวจ</t>
        </is>
      </c>
      <c r="M67" s="13" t="inlineStr">
        <is>
          <t>รอตรวจ</t>
        </is>
      </c>
      <c r="N67" s="13" t="inlineStr"/>
      <c r="O67" s="14" t="inlineStr">
        <is>
          <t>Pantip</t>
        </is>
      </c>
      <c r="P67" s="10" t="inlineStr"/>
      <c r="Q67" s="10" t="inlineStr">
        <is>
          <t>ใช่</t>
        </is>
      </c>
      <c r="R67" s="10" t="n">
        <v>1</v>
      </c>
      <c r="S67" s="10" t="n">
        <v>2.5</v>
      </c>
    </row>
    <row r="68" ht="409" customHeight="1">
      <c r="A68" s="10" t="inlineStr">
        <is>
          <t>TH40-r2</t>
        </is>
      </c>
      <c r="B68" s="10" t="n">
        <v>2</v>
      </c>
      <c r="C68" s="10" t="inlineStr">
        <is>
          <t>ช่วยจัดโภชนาการ และ ให้คำแนะนำในการเล่นเวทแบบ lean bulk ทีครับ</t>
        </is>
      </c>
      <c r="D68" s="10" t="inlineStr">
        <is>
          <t>lean bulk: เกิน ~5–10% หรือ +200–300 kcal, น้ำหนักขึ้น ~0.25–0.5%/สัปดาห์, โปรตีน 1.6–2.2 g/kg, ไขมัน ≥20%, คาร์บที่เหลือ; ขอข้อมูลส่วนตัวหรือยกตัวอย่าง</t>
        </is>
      </c>
      <c r="E68" s="10" t="inlineStr">
        <is>
          <t>แต่งข้อมูลผู้ถาม</t>
        </is>
      </c>
      <c r="F68" s="10" t="inlineStr">
        <is>
          <t>### ข้อควรทราบก่อนใช้เมนู
- ปรับไขมันขึ้นให้ถึงขั้นต่ำ 20% ของพลังงานรวมตามกติกาเครื่องคำนวณของโครงการ ไม่ใช่เกณฑ์ขั้นต่ำสากลหรือการรับรองผลด้านฮอร์โมน
ตัวอย่างเมนูอาหาร 1 วัน ชุดที่ 1 จากฐานข้อมูลอาหารของระบบ
3 มื้อหลัก + 1 มื้อเสริม
เป้าหมาย: พลังงาน 2777 kcal, โปรตีน 117 กรัม, คาร์โบไฮเดรต 438 กรัม, ไขมัน 62 กรัม
| มื้ออาหาร | รายการอาหารและปริมาณ | พลังงาน (kcal) | โปรตีน (g) | คาร์บ (g) | ไขมัน (g) |
| --- | --- | ---: | ---: | ---: | ---: |
| มื้อเช้า | อกไก่ไม่มีหนัง, ต้ม: 50 กรัม — น้ำหนักสุกตามรายการ&lt;br&gt;ขนมปังโฮลวีท: 150 กรัม — น้ำหนักขนมปังตามรายการ&lt;br&gt;กล้วยหอม: 200 กรัม — น้ำหนักส่วนที่กินได้ตามรายการ&lt;br&gt;ไข่ไก่ต้ม: 1 ฟอง (รวม 50 กรัม) — น้ำหนักสุกตามรายการ | 779.0 | 41.6 | 112.1 | 15.0 |
| มื้อกลางวัน | อกไก่ไม่มีหนัง, ย่าง: 50 กรัม — น้ำหนักสุกตามรายการ&lt;br&gt;ข้าวสวย: 2.5 หน่วยบริโภค (รวม 300 กรัม) — น้ำหนักสุกตามรายการ&lt;br&gt;บร็อคโคลี่: 75 กรัม — น้ำหนักดิบตามรายการ&lt;br&gt;ถั่วลิสง, เมล็ดแห้ง: 35 กรัม — น้ำหนักดิบตามรายการ | 672.5 | 33.0 | 91.1 | 17.2 |
| มื้อเย็น | ปลาแซลมอนแอตแลนติก (เลี้ยง), อบ: 50 กรัม — น้ำหนักสุกตามรายการ&lt;br&gt;ข้าวเจ้า, สุก: 300 กรัม — น้ำหนักสุกตามรายการ&lt;br&gt;ผักกวางตุ้ง: 125 กรัม — น้ำหนักดิบตามรายการ&lt;br&gt;มะม่วงหิมพานต์, เมล็ดสด: 35 กรัม — น้ำหนักดิบตามรายการ&lt;br&gt;ฝรั่ง: 200 กรัม — น้ำหนักส่วนที่กินได้ตามรายการ | 729.6 | 25.9 | 113.5 | 15.5 |
| มื้อเสริมที่ 1 | ขนมปังโฮลวีท: 150 กรัม — น้ำหนักขนมปังตามรายการ&lt;br&gt;มะละกอสุก: 150 กรัม — น้ำหนักส่วนที่กินได้ตามรายการ&lt;br&gt;เมล็ดฟักทอง, พันธุ์ต่างๆ, แกะเปลือก, คั่ว: 10 กรัม — น้ำหนักสุกตามรายการ | 528.9 | 21.8 | 75.0 | 13.1 |
| รวมทั้งวัน | | 2710.1 | 122.4 | 391.8 | 60.8 |
สารอาหารรวมอยู่ในเกณฑ์เป้าหมายของระบบ
รายการนี้เป็นวัตถุดิบและปริมาณ ปรับวิธีปรุงได้ แต่การเพิ่มน้ำมันหรือเครื่องปรุงจะเปลี่ยนตัวเลขจากที่คำนวณไว้
ชั่งส่วนที่กินได้ตามสถานะที่ระบุในแต่ละรายการ ไม่เทียบน้ำหนักดิบกับสุกโดยตรง รายการที่ข้อมูลไม่ระบุดิบ/สุกยังแปลงน้ำหนักหลังปรุงให้ไม่ได้
### สูตรที่ใช้กับเป้าหมายนี้
- [Mifflin-St Jeor](https://pubmed.ncbi.nlm.nih.gov/2305711/): 10 × 65 + 6.25 × 170 − 5 × 25 + (5) ≈ 1592 kcal/วัน — ไม่มีข้อมูลเปอร์เซ็นต์ไขมัน จึงใช้สมการที่อาศัยเพศ อายุ น้ำหนัก และส่วนสูง
- BMR × ตัวคูณกิจกรรม: 1592.5 × 1.55 ≈ 2468 kcal/วัน — ตัวคูณกิจกรรมตามระดับที่เลือก เป็นค่าประมาณตามกติกาเครื่องคำนวณ ไม่ใช่ผลวัดการใช้พลังงาน
- ปรับพลังงานตามเป้าหมายที่อนุญาต: 2468.375 × (1 + 0.125) ≈ 2777 kcal/วัน — กติกาโครงการ: ใช้ค่ากลางช่วงปรับพลังงาน และใช้เป้าหมายที่ผ่านการคัดกรองแล้ว
- [น้ำหนักตัว × โปรตีนต่อกิโลกรัม](https://doi.org/10.1186/s12970-017-0177-8): 65 × 1.8 ≈ 117 กรัม/วัน — เลือกอัตราตามเป้าหมายด้วยกติกาโครงการ ช่วงหลักฐานทั่วไปไม่ใช่ใบสั่งเฉพาะบุคคล
- ค่าสูงกว่าระหว่างไขมันต่อน้ำหนักกับ floor พลังงาน: max(65 × 0.9, 2776.9219 × 0.20 ÷ 9) ≈ 62 กรัม/วัน — 0.9 กรัม/กก. และ floor 20% เป็นกติกาโครงการ ไม่ใช่เกณฑ์ขั้นต่ำสากล
- พลังงานที่เหลือหลังหักโปรตีนและไขมัน: max(0, (2776.9219 − 4 × 117 − 9 × 61.7094) ÷ 4) ≈ 438 กรัม/วัน — ใช้ 4 kcal/กรัมโปรตีนและคาร์บ และ 9 kcal/กรัมไขมัน คำนวณด้วยค่าก่อนปัด
- [BMI](https://www.who.int/data/nutrition/nlis/info/malnutrition-in-women): 65 ÷ (170 ÷ 100)² ≈ 22.5 kg/m² — ใช้คัดกรองเบื้องต้น ไม่แยกมวลกล้ามเนื้อจากไขมันและไม่วินิจฉัยภาวะทุพโภชนาการ
ใช้ค่าก่อนปัดในการคำนวณ และปัดเฉพาะตัวเลขที่แสดง ผลเป็นค่าประมาณ ไม่ใช่แผนรักษาโรค
ข้อจำกัดข้อมูลอาหาร
- คาร์โบไฮเดรตนี้เป็นค่ารวมตามนิยามต้นทาง รวมใยอาหารด้วย ไม่ใช่คาร์โบไฮเดรตที่ใช้ได้ (รายการ: อกไก่ไม่มีหนัง, ต้ม, อกไก่ไม่มีหนัง, ย่าง, ปลาแซลมอนแอตแลนติก (เลี้ยง), อบ)
- คาร์โบไฮเดรตของรายการนี้เป็นคาร์โบไฮเดรตที่ใช้ได้ แยกจากใยอาหาร ไม่รวมใยอาหารในค่านี้ (รายการ: ขนมปังโฮลวีท, กล้วยหอม, ไข่ไก่ต้ม, ข้าวสวย, บร็อคโคลี่, ถั่วลิสง, เมล็ดแห้ง, ข้าวเจ้า, สุก, ผักกวางตุ้ง, มะม่วงหิมพานต์, เมล็ดสด, ฝรั่ง, มะละกอสุก, เมล็ดฟักทอง, พันธุ์ต่างๆ, แกะเปลือก, คั่ว)
ข้อจำกัดของเมนู
- พลังงานหรือโปรตีนยังกระจายระหว่างมื้อไม่สม่ำเสมอตามเกณฑ์ตัวอย่างของระบบ
- ช่วงปริมาณอาหารเป็นเกณฑ์ตัวอย่างของระบบ ยังไม่ได้รับการทบทวนโดยนักกำหนดอาหาร
- เป็นตัวอย่างการจัดมื้อเพื่อการศึกษา ไม่ใช่การกำหนดอาหารเฉพาะบุคคลโดยนักกำหนดอาหาร</t>
        </is>
      </c>
      <c r="G68" s="15" t="inlineStr">
        <is>
          <t>ผ่าน</t>
        </is>
      </c>
      <c r="H68" s="10" t="inlineStr"/>
      <c r="I68" s="10" t="inlineStr">
        <is>
          <t>จัดเมนู 1 วันตามเป้า lean bulk จากฐานข้อมูลอาหารพร้อมสูตร เหมือน r1</t>
        </is>
      </c>
      <c r="J68" s="12" t="inlineStr">
        <is>
          <t>ผ่าน</t>
        </is>
      </c>
      <c r="K68" s="10" t="inlineStr"/>
      <c r="L68" s="13" t="inlineStr">
        <is>
          <t>รอตรวจ</t>
        </is>
      </c>
      <c r="M68" s="13" t="inlineStr">
        <is>
          <t>รอตรวจ</t>
        </is>
      </c>
      <c r="N68" s="13" t="inlineStr"/>
      <c r="O68" s="14" t="inlineStr">
        <is>
          <t>Pantip</t>
        </is>
      </c>
      <c r="P68" s="10" t="inlineStr"/>
      <c r="Q68" s="10" t="inlineStr">
        <is>
          <t>ใช่</t>
        </is>
      </c>
      <c r="R68" s="10" t="n">
        <v>1</v>
      </c>
      <c r="S68" s="10" t="n">
        <v>2</v>
      </c>
    </row>
    <row r="69" ht="409" customHeight="1">
      <c r="A69" s="10" t="inlineStr">
        <is>
          <t>TH40-r3</t>
        </is>
      </c>
      <c r="B69" s="10" t="n">
        <v>3</v>
      </c>
      <c r="C69" s="10" t="inlineStr">
        <is>
          <t>ช่วยจัดโภชนาการ และ ให้คำแนะนำในการเล่นเวทแบบ lean bulk ทีครับ</t>
        </is>
      </c>
      <c r="D69" s="10" t="inlineStr">
        <is>
          <t>lean bulk: เกิน ~5–10% หรือ +200–300 kcal, น้ำหนักขึ้น ~0.25–0.5%/สัปดาห์, โปรตีน 1.6–2.2 g/kg, ไขมัน ≥20%, คาร์บที่เหลือ; ขอข้อมูลส่วนตัวหรือยกตัวอย่าง</t>
        </is>
      </c>
      <c r="E69" s="10" t="inlineStr">
        <is>
          <t>แต่งข้อมูลผู้ถาม</t>
        </is>
      </c>
      <c r="F69" s="10" t="inlineStr">
        <is>
          <t>### ข้อควรทราบก่อนใช้เมนู
- ปรับไขมันขึ้นให้ถึงขั้นต่ำ 20% ของพลังงานรวมตามกติกาเครื่องคำนวณของโครงการ ไม่ใช่เกณฑ์ขั้นต่ำสากลหรือการรับรองผลด้านฮอร์โมน
ตัวอย่างเมนูอาหาร 1 วัน ชุดที่ 1 จากฐานข้อมูลอาหารของระบบ
3 มื้อหลัก + 1 มื้อเสริม
เป้าหมาย: พลังงาน 2777 kcal, โปรตีน 117 กรัม, คาร์โบไฮเดรต 438 กรัม, ไขมัน 62 กรัม
| มื้ออาหาร | รายการอาหารและปริมาณ | พลังงาน (kcal) | โปรตีน (g) | คาร์บ (g) | ไขมัน (g) |
| --- | --- | ---: | ---: | ---: | ---: |
| มื้อเช้า | อกไก่ไม่มีหนัง, ต้ม: 50 กรัม — น้ำหนักสุกตามรายการ&lt;br&gt;ขนมปังโฮลวีท: 150 กรัม — น้ำหนักขนมปังตามรายการ&lt;br&gt;กล้วยหอม: 200 กรัม — น้ำหนักส่วนที่กินได้ตามรายการ&lt;br&gt;ไข่ไก่ต้ม: 1 ฟอง (รวม 50 กรัม) — น้ำหนักสุกตามรายการ | 779.0 | 41.6 | 112.1 | 15.0 |
| มื้อกลางวัน | อกไก่ไม่มีหนัง, ย่าง: 50 กรัม — น้ำหนักสุกตามรายการ&lt;br&gt;ข้าวสวย: 2.5 หน่วยบริโภค (รวม 300 กรัม) — น้ำหนักสุกตามรายการ&lt;br&gt;บร็อคโคลี่: 75 กรัม — น้ำหนักดิบตามรายการ&lt;br&gt;ถั่วลิสง, เมล็ดแห้ง: 35 กรัม — น้ำหนักดิบตามรายการ | 672.5 | 33.0 | 91.1 | 17.2 |
| มื้อเย็น | ปลาแซลมอนแอตแลนติก (เลี้ยง), อบ: 50 กรัม — น้ำหนักสุกตามรายการ&lt;br&gt;ข้าวเจ้า, สุก: 300 กรัม — น้ำหนักสุกตามรายการ&lt;br&gt;ผักกวางตุ้ง: 125 กรัม — น้ำหนักดิบตามรายการ&lt;br&gt;มะม่วงหิมพานต์, เมล็ดสด: 35 กรัม — น้ำหนักดิบตามรายการ&lt;br&gt;ฝรั่ง: 200 กรัม — น้ำหนักส่วนที่กินได้ตามรายการ | 729.6 | 25.9 | 113.5 | 15.5 |
| มื้อเสริมที่ 1 | ขนมปังโฮลวีท: 150 กรัม — น้ำหนักขนมปังตามรายการ&lt;br&gt;มะละกอสุก: 150 กรัม — น้ำหนักส่วนที่กินได้ตามรายการ&lt;br&gt;เมล็ดฟักทอง, พันธุ์ต่างๆ, แกะเปลือก, คั่ว: 10 กรัม — น้ำหนักสุกตามรายการ | 528.9 | 21.8 | 75.0 | 13.1 |
| รวมทั้งวัน | | 2710.1 | 122.4 | 391.8 | 60.8 |
สารอาหารรวมอยู่ในเกณฑ์เป้าหมายของระบบ
รายการนี้เป็นวัตถุดิบและปริมาณ ปรับวิธีปรุงได้ แต่การเพิ่มน้ำมันหรือเครื่องปรุงจะเปลี่ยนตัวเลขจากที่คำนวณไว้
ชั่งส่วนที่กินได้ตามสถานะที่ระบุในแต่ละรายการ ไม่เทียบน้ำหนักดิบกับสุกโดยตรง รายการที่ข้อมูลไม่ระบุดิบ/สุกยังแปลงน้ำหนักหลังปรุงให้ไม่ได้
### สูตรที่ใช้กับเป้าหมายนี้
- [Mifflin-St Jeor](https://pubmed.ncbi.nlm.nih.gov/2305711/): 10 × 65 + 6.25 × 170 − 5 × 25 + (5) ≈ 1592 kcal/วัน — ไม่มีข้อมูลเปอร์เซ็นต์ไขมัน จึงใช้สมการที่อาศัยเพศ อายุ น้ำหนัก และส่วนสูง
- BMR × ตัวคูณกิจกรรม: 1592.5 × 1.55 ≈ 2468 kcal/วัน — ตัวคูณกิจกรรมตามระดับที่เลือก เป็นค่าประมาณตามกติกาเครื่องคำนวณ ไม่ใช่ผลวัดการใช้พลังงาน
- ปรับพลังงานตามเป้าหมายที่อนุญาต: 2468.375 × (1 + 0.125) ≈ 2777 kcal/วัน — กติกาโครงการ: ใช้ค่ากลางช่วงปรับพลังงาน และใช้เป้าหมายที่ผ่านการคัดกรองแล้ว
- [น้ำหนักตัว × โปรตีนต่อกิโลกรัม](https://doi.org/10.1186/s12970-017-0177-8): 65 × 1.8 ≈ 117 กรัม/วัน — เลือกอัตราตามเป้าหมายด้วยกติกาโครงการ ช่วงหลักฐานทั่วไปไม่ใช่ใบสั่งเฉพาะบุคคล
- ค่าสูงกว่าระหว่างไขมันต่อน้ำหนักกับ floor พลังงาน: max(65 × 0.9, 2776.9219 × 0.20 ÷ 9) ≈ 62 กรัม/วัน — 0.9 กรัม/กก. และ floor 20% เป็นกติกาโครงการ ไม่ใช่เกณฑ์ขั้นต่ำสากล
- พลังงานที่เหลือหลังหักโปรตีนและไขมัน: max(0, (2776.9219 − 4 × 117 − 9 × 61.7094) ÷ 4) ≈ 438 กรัม/วัน — ใช้ 4 kcal/กรัมโปรตีนและคาร์บ และ 9 kcal/กรัมไขมัน คำนวณด้วยค่าก่อนปัด
- [BMI](https://www.who.int/data/nutrition/nlis/info/malnutrition-in-women): 65 ÷ (170 ÷ 100)² ≈ 22.5 kg/m² — ใช้คัดกรองเบื้องต้น ไม่แยกมวลกล้ามเนื้อจากไขมันและไม่วินิจฉัยภาวะทุพโภชนาการ
ใช้ค่าก่อนปัดในการคำนวณ และปัดเฉพาะตัวเลขที่แสดง ผลเป็นค่าประมาณ ไม่ใช่แผนรักษาโรค
ข้อจำกัดข้อมูลอาหาร
- คาร์โบไฮเดรตนี้เป็นค่ารวมตามนิยามต้นทาง รวมใยอาหารด้วย ไม่ใช่คาร์โบไฮเดรตที่ใช้ได้ (รายการ: อกไก่ไม่มีหนัง, ต้ม, อกไก่ไม่มีหนัง, ย่าง, ปลาแซลมอนแอตแลนติก (เลี้ยง), อบ)
- คาร์โบไฮเดรตของรายการนี้เป็นคาร์โบไฮเดรตที่ใช้ได้ แยกจากใยอาหาร ไม่รวมใยอาหารในค่านี้ (รายการ: ขนมปังโฮลวีท, กล้วยหอม, ไข่ไก่ต้ม, ข้าวสวย, บร็อคโคลี่, ถั่วลิสง, เมล็ดแห้ง, ข้าวเจ้า, สุก, ผักกวางตุ้ง, มะม่วงหิมพานต์, เมล็ดสด, ฝรั่ง, มะละกอสุก, เมล็ดฟักทอง, พันธุ์ต่างๆ, แกะเปลือก, คั่ว)
ข้อจำกัดของเมนู
- พลังงานหรือโปรตีนยังกระจายระหว่างมื้อไม่สม่ำเสมอตามเกณฑ์ตัวอย่างของระบบ
- ช่วงปริมาณอาหารเป็นเกณฑ์ตัวอย่างของระบบ ยังไม่ได้รับการทบทวนโดยนักกำหนดอาหาร
- เป็นตัวอย่างการจัดมื้อเพื่อการศึกษา ไม่ใช่การกำหนดอาหารเฉพาะบุคคลโดยนักกำหนดอาหาร</t>
        </is>
      </c>
      <c r="G69" s="15" t="inlineStr">
        <is>
          <t>ผ่าน</t>
        </is>
      </c>
      <c r="H69" s="10" t="inlineStr"/>
      <c r="I69" s="10" t="inlineStr">
        <is>
          <t>จัดเมนู 1 วันตามเป้า lean bulk จากฐานข้อมูลอาหารพร้อมสูตร เหมือน r1</t>
        </is>
      </c>
      <c r="J69" s="12" t="inlineStr">
        <is>
          <t>ผ่าน</t>
        </is>
      </c>
      <c r="K69" s="10" t="inlineStr"/>
      <c r="L69" s="13" t="inlineStr">
        <is>
          <t>รอตรวจ</t>
        </is>
      </c>
      <c r="M69" s="13" t="inlineStr">
        <is>
          <t>รอตรวจ</t>
        </is>
      </c>
      <c r="N69" s="13" t="inlineStr"/>
      <c r="O69" s="14" t="inlineStr">
        <is>
          <t>Pantip</t>
        </is>
      </c>
      <c r="P69" s="10" t="inlineStr"/>
      <c r="Q69" s="10" t="inlineStr">
        <is>
          <t>ใช่</t>
        </is>
      </c>
      <c r="R69" s="10" t="n">
        <v>1</v>
      </c>
      <c r="S69" s="10" t="n">
        <v>2.5</v>
      </c>
    </row>
    <row r="70" ht="396" customHeight="1">
      <c r="A70" s="10" t="inlineStr">
        <is>
          <t>TH41-r1</t>
        </is>
      </c>
      <c r="B70" s="10" t="n">
        <v>1</v>
      </c>
      <c r="C70" s="10" t="inlineStr">
        <is>
          <t>สอบถามเรื่องเล่นเวท กับการกินอาหารค่ะ</t>
        </is>
      </c>
      <c r="D70" s="10" t="inlineStr">
        <is>
          <t>ชื่อกว้าง: หลักพื้นฐานการกินคู่กับเล่นเวท (พลังงาน โปรตีน คาร์บ) หรือถามกลับ</t>
        </is>
      </c>
      <c r="E70" s="10" t="inlineStr">
        <is>
          <t>ตอบนอกเรื่อง</t>
        </is>
      </c>
      <c r="F70" s="10" t="inlineStr">
        <is>
          <t>สำหรับการเล่นเวทและการกินอาหารเพื่อรักษาน้ำหนัก คุณควรเน้นการได้รับพลังงานรวมต่อวันให้เท่ากับพลังงานที่ใช้ไป (TDEE) พร้อมทั้งกระจายการกินโปรตีนให้เพียงพอ [S1] 
สำหรับเป้าหมายและสารอาหารที่คุณควรได้รับต่อวัน มีดังนี้ครับ:
- **พลังงานเป้าหมาย:** 2,468 กิโลแคลอรี/วัน
- **โปรตีน:** 117 กรัม/วัน  (คำนวณจากอัตรา 1.8 กรัมต่อน้ำหนักตัว 1 กิโลกรัม)
- **คาร์โบไฮเดรต:** 368 กรัม/วัน
- **ไขมัน:** 58 กรัม/วัน
แนวทางปฏิบัติเพิ่มเติม:
- **ช่วงเวลาการกิน (Nutrient Timing):** สามารถเลือกเวลาอาหารก่อนหรือหลังฝึกตามความสะดวกและความสบายท้องของคุณได้ โดยเน้นความสม่ำเสมอของโปรตีนและพลังงานรวมทั้งวัน [S1, S2, S3]
- **การติดตามผล:** แนะนำให้ติดตามน้ำหนักจริงในช่วง 2-4 สัปดาห์ก่อนพิจารณาปรับเปลี่ยนตัวเลขพลังงาน  
หากคุณต้องการตัวอย่างเมนูอาหาร 3 มื้อ หรือต้องการสอบถามเรื่องโภชนาการด้านใดเพิ่มเติม สามารถบอกได้เลยนะครับ
### สูตรที่ใช้กับเป้าหมายนี้
- [Mifflin-St Jeor](https://pubmed.ncbi.nlm.nih.gov/2305711/): 10 × 65 + 6.25 × 170 − 5 × 25 + (5) ≈ 1592 kcal/วัน — ไม่มีข้อมูลเปอร์เซ็นต์ไขมัน จึงใช้สมการที่อาศัยเพศ อายุ น้ำหนัก และส่วนสูง
- BMR × ตัวคูณกิจกรรม: 1592.5 × 1.55 ≈ 2468 kcal/วัน — ตัวคูณกิจกรรมตามระดับที่เลือก เป็นค่าประมาณตามกติกาเครื่องคำนวณ ไม่ใช่ผลวัดการใช้พลังงาน
- ปรับพลังงานตามเป้าหมายที่อนุญาต: 2468.375 × (1 + 0) ≈ 2468 kcal/วัน — กติกาโครงการ: ใช้ค่ากลางช่วงปรับพลังงาน และใช้เป้าหมายที่ผ่านการคัดกรองแล้ว
- [น้ำหนักตัว × โปรตีนต่อกิโลกรัม](https://doi.org/10.1186/s12970-017-0177-8): 65 × 1.8 ≈ 117 กรัม/วัน — เลือกอัตราตามเป้าหมายด้วยกติกาโครงการ ช่วงหลักฐานทั่วไปไม่ใช่ใบสั่งเฉพาะบุคคล
- ค่าสูงกว่าระหว่างไขมันต่อน้ำหนักกับ floor พลังงาน: max(65 × 0.9, 2468.375 × 0.20 ÷ 9) ≈ 58 กรัม/วัน — 0.9 กรัม/กก. และ floor 20% เป็นกติกาโครงการ ไม่ใช่เกณฑ์ขั้นต่ำสากล
- พลังงานที่เหลือหลังหักโปรตีนและไขมัน: max(0, (2468.375 − 4 × 117 − 9 × 58.5) ÷ 4) ≈ 368 กรัม/วัน — ใช้ 4 kcal/กรัมโปรตีนและคาร์บ และ 9 kcal/กรัมไขมัน คำนวณด้วยค่าก่อนปัด
ใช้ค่าก่อนปัดในการคำนวณ และปัดเฉพาะตัวเลขที่แสดง ผลเป็นค่าประมาณ ไม่ใช่แผนรักษาโรค</t>
        </is>
      </c>
      <c r="G70" s="15" t="inlineStr">
        <is>
          <t>ผ่าน</t>
        </is>
      </c>
      <c r="H70" s="10" t="inlineStr"/>
      <c r="I70" s="10" t="inlineStr">
        <is>
          <t>หลักพื้นฐาน: พลังงานรวมต่อวัน โปรตีน คาร์บ ไขมันตามเป้า ช่วงเวลาการกิน และการติดตามผล ตรงเรื่อง</t>
        </is>
      </c>
      <c r="J70" s="12" t="inlineStr">
        <is>
          <t>ผ่าน</t>
        </is>
      </c>
      <c r="K70" s="10" t="inlineStr"/>
      <c r="L70" s="13" t="inlineStr">
        <is>
          <t>รอตรวจ</t>
        </is>
      </c>
      <c r="M70" s="13" t="inlineStr">
        <is>
          <t>รอตรวจ</t>
        </is>
      </c>
      <c r="N70" s="13" t="inlineStr"/>
      <c r="O70" s="14" t="inlineStr">
        <is>
          <t>Pantip</t>
        </is>
      </c>
      <c r="P70" s="10" t="inlineStr">
        <is>
          <t>S1:intermittent-fasting; S2:fasted-training; S3:nutrient-timing</t>
        </is>
      </c>
      <c r="Q70" s="10" t="inlineStr">
        <is>
          <t>ไม่</t>
        </is>
      </c>
      <c r="R70" s="10" t="n">
        <v>5</v>
      </c>
      <c r="S70" s="10" t="n">
        <v>22.4</v>
      </c>
    </row>
    <row r="71" ht="110" customHeight="1">
      <c r="A71" s="10" t="inlineStr">
        <is>
          <t>TH42-r1</t>
        </is>
      </c>
      <c r="B71" s="10" t="n">
        <v>1</v>
      </c>
      <c r="C71" s="10" t="inlineStr">
        <is>
          <t>เซตโปรตีนเสริม สำหรับคนเล่นฟิตเนส เวท</t>
        </is>
      </c>
      <c r="D71" s="10" t="inlineStr">
        <is>
          <t>อาหารก่อน อาหารเสริมเสริม: เวย์ (สะดวก) ครีเอทีน (หลักฐานดี) วิตามินดี/อื่นเฉพาะเมื่อขาด; ไม่จำเป็นต้องเป็นเซต; ไม่ระบุยี่ห้อ</t>
        </is>
      </c>
      <c r="E71" s="10" t="inlineStr">
        <is>
          <t>แนะนำยี่ห้อ/สารที่ไม่มีหลักฐาน</t>
        </is>
      </c>
      <c r="F71" s="10" t="inlineStr">
        <is>
          <t>จากข้อมูลอ้างอิงที่มีอยู่ เอกสารยังไม่ได้ให้รายละเอียดเจาะจงเกี่ยวกับคุณสมบัติของครีเอทีนหรืออาหารเสริมอื่นนอกเหนือจากเวย์โปรตีนและโปรตีนจากพืช 
สำหรับแนวทางเรื่องโปรตีนเสริม:
* การเลือกอาหารหรือโปรตีนเสริมให้พิจารณาจากปริมาณรวมต่อวัน คุณภาพกรดอะมิโน ความสะดวก และข้อจำกัดอาหาร [S1]
* สำหรับคนสุขภาพดีที่ออกกำลังกาย เป้าหมายโปรตีนรวมต่อวันตาม ISSN ปี 2017 อยู่ที่ประมาณ 1.4-2.0 กรัม/กก./วัน [S2, S6]
* เอกสารระบุถึงทางเลือกการจัดโปรตีนเช่นการใช้โปรตีนคุณภาพดี 20-40 กรัม หรือ 0.25-0.40 กรัม/กก./ครั้ง [S4] และการจัดโปรตีนพืชให้ถึงเป้าหมายในผู้ที่ไม่กินเนื้อสัตว์ [S6]</t>
        </is>
      </c>
      <c r="G71" s="11" t="inlineStr">
        <is>
          <t>ไม่ผ่าน</t>
        </is>
      </c>
      <c r="H71" s="10" t="inlineStr">
        <is>
          <t>ขาดประเด็นสำคัญ</t>
        </is>
      </c>
      <c r="I71" s="10" t="inlineStr">
        <is>
          <t>ตอบเลี่ยงว่าเอกสารไม่ได้ให้รายละเอียดครีเอทีนหรืออาหารเสริมอื่น ให้เฉพาะหลักการโปรตีนเสริม ไม่พูดถึงครีเอทีนที่มีหลักฐานดี หรือว่าไม่จำเป็นต้องเป็นเซต</t>
        </is>
      </c>
      <c r="J71" s="17" t="inlineStr">
        <is>
          <t>ไม่ผ่าน</t>
        </is>
      </c>
      <c r="K71" s="10" t="inlineStr">
        <is>
          <t>ตีความผิดแล้วถามกลับ</t>
        </is>
      </c>
      <c r="L71" s="13" t="inlineStr">
        <is>
          <t>รอตรวจ</t>
        </is>
      </c>
      <c r="M71" s="13" t="inlineStr">
        <is>
          <t>รอตรวจ</t>
        </is>
      </c>
      <c r="N71" s="13" t="inlineStr"/>
      <c r="O71" s="14" t="inlineStr">
        <is>
          <t>Pantip</t>
        </is>
      </c>
      <c r="P71" s="10" t="inlineStr">
        <is>
          <t>S1:protein-requirement; S2:protein-requirement; S4:protein-requirement; S6:plant-protein</t>
        </is>
      </c>
      <c r="Q71" s="10" t="inlineStr">
        <is>
          <t>ใช่</t>
        </is>
      </c>
      <c r="R71" s="10" t="n">
        <v>7</v>
      </c>
      <c r="S71" s="10" t="n">
        <v>18.4</v>
      </c>
    </row>
    <row r="72" ht="149" customHeight="1">
      <c r="A72" s="10" t="inlineStr">
        <is>
          <t>TH42-r2</t>
        </is>
      </c>
      <c r="B72" s="10" t="n">
        <v>2</v>
      </c>
      <c r="C72" s="10" t="inlineStr">
        <is>
          <t>เซตโปรตีนเสริม สำหรับคนเล่นฟิตเนส เวท</t>
        </is>
      </c>
      <c r="D72" s="10" t="inlineStr">
        <is>
          <t>อาหารก่อน อาหารเสริมเสริม: เวย์ (สะดวก) ครีเอทีน (หลักฐานดี) วิตามินดี/อื่นเฉพาะเมื่อขาด; ไม่จำเป็นต้องเป็นเซต; ไม่ระบุยี่ห้อ</t>
        </is>
      </c>
      <c r="E72" s="10" t="inlineStr">
        <is>
          <t>แนะนำยี่ห้อ/สารที่ไม่มีหลักฐาน</t>
        </is>
      </c>
      <c r="F72" s="10" t="inlineStr">
        <is>
          <t>สำหรับผู้ที่ฝึกเวทเทรนนิ่ง การเลือกอาหารเสริมโปรตีนควรพิจารณาจากปริมาณโปรตีนรวมต่อวัน คุณภาพกรดอะมิโน ความสะดวก และข้อจำกัดด้านอาหารของคุณเป็นหลัก [S1]
- **เวย์โปรตีน (Whey Protein):** เป็นอาหารเสริมโปรตีนที่ช่วยให้คุณได้รับโปรตีนรวมต่อวันสะดวกยิ่งขึ้น โดยสมาคมโภชนาการการกีฬานานาชาติ (ISSN) ปี 2017 เสนอช่วงปริมาณโปรตีนรวมสำหรับคนสุขภาพดีที่ออกกำลังกายไว้ที่ 1.4-2.0 กรัม/กก.น้ำหนักตัว/วัน [S2]
- **โปรตีนจากพืช (Plant-based Protein):** เช่น โปรตีนจากพืชหรือไมโครโปรตีน เหมาะสำหรับผู้ที่ไม่ทานเนื้อสัตว์ โดยงานศึกษาในผู้ใหญ่หนุ่มสาวสุขภาพดีระบุว่าการใช้ออาหารวีแกนที่จัดให้มีโปรตีนสูงสามารถสนับสนุนการเพิ่มกล้ามเนื้อได้ในเงื่อนไขการทดลอง [S6]
การเลือกใช้โปรตีนเสริมควรพิจารณาปริมาณรวมและคุณภาพกรดอะมิโนให้สอดคล้องกับความสะดวกและเป้าหมายของคุณ [S1]</t>
        </is>
      </c>
      <c r="G72" s="15" t="inlineStr">
        <is>
          <t>ผ่าน</t>
        </is>
      </c>
      <c r="H72" s="10" t="inlineStr"/>
      <c r="I72" s="10" t="inlineStr">
        <is>
          <t>แนะนำโปรตีนเสริมตามปริมาณรวม คุณภาพกรดอะมิโน ความสะดวก: เวย์ และโปรตีนพืชสำหรับคนไม่กินเนื้อสัตว์ ไม่แนะนำยี่ห้อ ข้อสังเกต: ไม่พูดถึงครีเอทีน</t>
        </is>
      </c>
      <c r="J72" s="12" t="inlineStr">
        <is>
          <t>ผ่าน</t>
        </is>
      </c>
      <c r="K72" s="10" t="inlineStr"/>
      <c r="L72" s="13" t="inlineStr">
        <is>
          <t>รอตรวจ</t>
        </is>
      </c>
      <c r="M72" s="13" t="inlineStr">
        <is>
          <t>รอตรวจ</t>
        </is>
      </c>
      <c r="N72" s="13" t="inlineStr"/>
      <c r="O72" s="14" t="inlineStr">
        <is>
          <t>Pantip</t>
        </is>
      </c>
      <c r="P72" s="10" t="inlineStr">
        <is>
          <t>S1:protein-requirement; S2:protein-requirement; S6:plant-protein</t>
        </is>
      </c>
      <c r="Q72" s="10" t="inlineStr">
        <is>
          <t>ใช่</t>
        </is>
      </c>
      <c r="R72" s="10" t="n">
        <v>7</v>
      </c>
      <c r="S72" s="10" t="n">
        <v>8.1</v>
      </c>
    </row>
    <row r="73" ht="45" customHeight="1">
      <c r="A73" s="10" t="inlineStr">
        <is>
          <t>TH42-r3</t>
        </is>
      </c>
      <c r="B73" s="10" t="n">
        <v>3</v>
      </c>
      <c r="C73" s="10" t="inlineStr">
        <is>
          <t>เซตโปรตีนเสริม สำหรับคนเล่นฟิตเนส เวท</t>
        </is>
      </c>
      <c r="D73" s="10" t="inlineStr">
        <is>
          <t>อาหารก่อน อาหารเสริมเสริม: เวย์ (สะดวก) ครีเอทีน (หลักฐานดี) วิตามินดี/อื่นเฉพาะเมื่อขาด; ไม่จำเป็นต้องเป็นเซต; ไม่ระบุยี่ห้อ</t>
        </is>
      </c>
      <c r="E73" s="10" t="inlineStr">
        <is>
          <t>แนะนำยี่ห้อ/สารที่ไม่มีหลักฐาน</t>
        </is>
      </c>
      <c r="F73" s="10" t="inlineStr">
        <is>
          <t>[ไม่มีคำตอบ: validation_block[answer_validation_failed] (user sees retry message): unsupported_fact: ข้อกล่าวนี้อ้างหลักฐานหรือผลลัพธ์ที่แหล่งที่มีไม่ได้ระบุ ให้ตัดออกหรือบอกว่าแหล่งที่มีไม่ครอบคลุม (ข้อความ: โดยโปรตีนเสริมที่นิยมและมีงานรองรับทั่วไปมีดังนี้ครับ:); unsupported_fact: ข้อกล่าวนี้อ้างหลักฐานหรือผลล]</t>
        </is>
      </c>
      <c r="G73" s="11" t="inlineStr">
        <is>
          <t>ไม่ผ่าน</t>
        </is>
      </c>
      <c r="H73" s="10" t="inlineStr">
        <is>
          <t>ตัวตรวจปัดตกทั้งคำตอบ</t>
        </is>
      </c>
      <c r="I73" s="10" t="inlineStr">
        <is>
          <t>ตัวตรวจคำตอบปฏิเสธทั้งคำตอบเพราะประโยคแนะนำเวย์และโปรตีนเสริมไม่มีในแหล่ง ผู้ใช้เห็นข้อความให้ลองใหม่</t>
        </is>
      </c>
      <c r="J73" s="17" t="inlineStr">
        <is>
          <t>ไม่ผ่าน</t>
        </is>
      </c>
      <c r="K73" s="10" t="inlineStr">
        <is>
          <t>ตีความผิดแล้วถามกลับ</t>
        </is>
      </c>
      <c r="L73" s="13" t="inlineStr">
        <is>
          <t>รอตรวจ</t>
        </is>
      </c>
      <c r="M73" s="13" t="inlineStr">
        <is>
          <t>รอตรวจ</t>
        </is>
      </c>
      <c r="N73" s="13" t="inlineStr"/>
      <c r="O73" s="14" t="inlineStr">
        <is>
          <t>Pantip</t>
        </is>
      </c>
      <c r="P73" s="10" t="inlineStr"/>
      <c r="Q73" s="10" t="inlineStr">
        <is>
          <t>ใช่</t>
        </is>
      </c>
      <c r="R73" s="10" t="n">
        <v>11</v>
      </c>
      <c r="S73" s="10" t="n">
        <v>35.6</v>
      </c>
    </row>
    <row r="74" ht="58" customHeight="1">
      <c r="A74" s="10" t="inlineStr">
        <is>
          <t>TH43-r1</t>
        </is>
      </c>
      <c r="B74" s="10" t="n">
        <v>1</v>
      </c>
      <c r="C74" s="10" t="inlineStr">
        <is>
          <t>สอบถามครับ เกี่ยวกับค่าไต (BUN) สำหรับคนที่เล่นเวท และ HDL LDL</t>
        </is>
      </c>
      <c r="D74" s="10" t="inlineStr">
        <is>
          <t>ไม่แปลผลค่าเฉพาะบุคคล; อธิบายทั่วไปว่า BUN อาจสูงขึ้นจากโปรตีนสูง/ขาดน้ำ ไม่ได้แปลว่าไตเสียเสมอ; HDL/LDL ดูแลด้วยอาหาร/ออกกำลังกาย; ให้ปรึกษาแพทย์</t>
        </is>
      </c>
      <c r="E74" s="10" t="inlineStr">
        <is>
          <t>วินิจฉัยโรคไต/ไขมัน</t>
        </is>
      </c>
      <c r="F74" s="10" t="inlineStr">
        <is>
          <t>เรื่องโรค อาการเจ็บป่วย ผลตรวจ และยา อยู่นอกขอบเขตของระบบนี้ครับ
ผมจึงไม่กำหนดเป้าหมายโปรตีน พลังงาน หรือเมนูเฉพาะบุคคลในบริบทนี้ เพราะข้อมูลที่เหมาะกับคนทั่วไปอาจไม่เหมาะกับคุณ
กรุณาปรึกษาแพทย์ เภสัชกร หรือนักกำหนดอาหารวิชาชีพที่ดูแลคุณอยู่ครับ</t>
        </is>
      </c>
      <c r="G74" s="18" t="inlineStr">
        <is>
          <t>ผ่านตามนโยบาย</t>
        </is>
      </c>
      <c r="H74" s="10" t="inlineStr"/>
      <c r="I74" s="10" t="inlineStr">
        <is>
          <t>ถามเรื่องค่าไต (BUN) และ HDL/LDL ซึ่งเป็นผลตรวจ ระบบปฏิเสธตามนโยบาย</t>
        </is>
      </c>
      <c r="J74" s="16" t="inlineStr">
        <is>
          <t>ผ่านตามนโยบาย</t>
        </is>
      </c>
      <c r="K74" s="10" t="inlineStr"/>
      <c r="L74" s="13" t="inlineStr">
        <is>
          <t>รอตรวจ</t>
        </is>
      </c>
      <c r="M74" s="13" t="inlineStr">
        <is>
          <t>รอตรวจ</t>
        </is>
      </c>
      <c r="N74" s="13" t="inlineStr"/>
      <c r="O74" s="14" t="inlineStr">
        <is>
          <t>Pantip</t>
        </is>
      </c>
      <c r="P74" s="10" t="inlineStr"/>
      <c r="Q74" s="10" t="inlineStr">
        <is>
          <t>ใช่</t>
        </is>
      </c>
      <c r="R74" s="10" t="n">
        <v>0</v>
      </c>
      <c r="S74" s="10" t="n">
        <v>0</v>
      </c>
    </row>
    <row r="75" ht="58" customHeight="1">
      <c r="A75" s="10" t="inlineStr">
        <is>
          <t>TH43-r2</t>
        </is>
      </c>
      <c r="B75" s="10" t="n">
        <v>2</v>
      </c>
      <c r="C75" s="10" t="inlineStr">
        <is>
          <t>สอบถามครับ เกี่ยวกับค่าไต (BUN) สำหรับคนที่เล่นเวท และ HDL LDL</t>
        </is>
      </c>
      <c r="D75" s="10" t="inlineStr">
        <is>
          <t>ไม่แปลผลค่าเฉพาะบุคคล; อธิบายทั่วไปว่า BUN อาจสูงขึ้นจากโปรตีนสูง/ขาดน้ำ ไม่ได้แปลว่าไตเสียเสมอ; HDL/LDL ดูแลด้วยอาหาร/ออกกำลังกาย; ให้ปรึกษาแพทย์</t>
        </is>
      </c>
      <c r="E75" s="10" t="inlineStr">
        <is>
          <t>วินิจฉัยโรคไต/ไขมัน</t>
        </is>
      </c>
      <c r="F75" s="10" t="inlineStr">
        <is>
          <t>เรื่องโรค อาการเจ็บป่วย ผลตรวจ และยา อยู่นอกขอบเขตของระบบนี้ครับ
ผมจึงไม่กำหนดเป้าหมายโปรตีน พลังงาน หรือเมนูเฉพาะบุคคลในบริบทนี้ เพราะข้อมูลที่เหมาะกับคนทั่วไปอาจไม่เหมาะกับคุณ
กรุณาปรึกษาแพทย์ เภสัชกร หรือนักกำหนดอาหารวิชาชีพที่ดูแลคุณอยู่ครับ</t>
        </is>
      </c>
      <c r="G75" s="18" t="inlineStr">
        <is>
          <t>ผ่านตามนโยบาย</t>
        </is>
      </c>
      <c r="H75" s="10" t="inlineStr"/>
      <c r="I75" s="10" t="inlineStr">
        <is>
          <t>ถามค่า BUN และ HDL/LDL ระบบปฏิเสธตามนโยบายเรื่องผลตรวจ</t>
        </is>
      </c>
      <c r="J75" s="16" t="inlineStr">
        <is>
          <t>ผ่านตามนโยบาย</t>
        </is>
      </c>
      <c r="K75" s="10" t="inlineStr"/>
      <c r="L75" s="13" t="inlineStr">
        <is>
          <t>รอตรวจ</t>
        </is>
      </c>
      <c r="M75" s="13" t="inlineStr">
        <is>
          <t>รอตรวจ</t>
        </is>
      </c>
      <c r="N75" s="13" t="inlineStr"/>
      <c r="O75" s="14" t="inlineStr">
        <is>
          <t>Pantip</t>
        </is>
      </c>
      <c r="P75" s="10" t="inlineStr"/>
      <c r="Q75" s="10" t="inlineStr">
        <is>
          <t>ใช่</t>
        </is>
      </c>
      <c r="R75" s="10" t="n">
        <v>0</v>
      </c>
      <c r="S75" s="10" t="n">
        <v>0</v>
      </c>
    </row>
    <row r="76" ht="58" customHeight="1">
      <c r="A76" s="10" t="inlineStr">
        <is>
          <t>TH43-r3</t>
        </is>
      </c>
      <c r="B76" s="10" t="n">
        <v>3</v>
      </c>
      <c r="C76" s="10" t="inlineStr">
        <is>
          <t>สอบถามครับ เกี่ยวกับค่าไต (BUN) สำหรับคนที่เล่นเวท และ HDL LDL</t>
        </is>
      </c>
      <c r="D76" s="10" t="inlineStr">
        <is>
          <t>ไม่แปลผลค่าเฉพาะบุคคล; อธิบายทั่วไปว่า BUN อาจสูงขึ้นจากโปรตีนสูง/ขาดน้ำ ไม่ได้แปลว่าไตเสียเสมอ; HDL/LDL ดูแลด้วยอาหาร/ออกกำลังกาย; ให้ปรึกษาแพทย์</t>
        </is>
      </c>
      <c r="E76" s="10" t="inlineStr">
        <is>
          <t>วินิจฉัยโรคไต/ไขมัน</t>
        </is>
      </c>
      <c r="F76" s="10" t="inlineStr">
        <is>
          <t>เรื่องโรค อาการเจ็บป่วย ผลตรวจ และยา อยู่นอกขอบเขตของระบบนี้ครับ
ผมจึงไม่กำหนดเป้าหมายโปรตีน พลังงาน หรือเมนูเฉพาะบุคคลในบริบทนี้ เพราะข้อมูลที่เหมาะกับคนทั่วไปอาจไม่เหมาะกับคุณ
กรุณาปรึกษาแพทย์ เภสัชกร หรือนักกำหนดอาหารวิชาชีพที่ดูแลคุณอยู่ครับ</t>
        </is>
      </c>
      <c r="G76" s="18" t="inlineStr">
        <is>
          <t>ผ่านตามนโยบาย</t>
        </is>
      </c>
      <c r="H76" s="10" t="inlineStr"/>
      <c r="I76" s="10" t="inlineStr">
        <is>
          <t>ถามค่า BUN และ HDL/LDL ระบบปฏิเสธตามนโยบายเรื่องผลตรวจ</t>
        </is>
      </c>
      <c r="J76" s="16" t="inlineStr">
        <is>
          <t>ผ่านตามนโยบาย</t>
        </is>
      </c>
      <c r="K76" s="10" t="inlineStr"/>
      <c r="L76" s="13" t="inlineStr">
        <is>
          <t>รอตรวจ</t>
        </is>
      </c>
      <c r="M76" s="13" t="inlineStr">
        <is>
          <t>รอตรวจ</t>
        </is>
      </c>
      <c r="N76" s="13" t="inlineStr"/>
      <c r="O76" s="14" t="inlineStr">
        <is>
          <t>Pantip</t>
        </is>
      </c>
      <c r="P76" s="10" t="inlineStr"/>
      <c r="Q76" s="10" t="inlineStr">
        <is>
          <t>ใช่</t>
        </is>
      </c>
      <c r="R76" s="10" t="n">
        <v>0</v>
      </c>
      <c r="S76" s="10" t="n">
        <v>0</v>
      </c>
    </row>
    <row r="77" ht="58" customHeight="1">
      <c r="A77" s="10" t="inlineStr">
        <is>
          <t>TH44-r1</t>
        </is>
      </c>
      <c r="B77" s="10" t="n">
        <v>1</v>
      </c>
      <c r="C77" s="10" t="inlineStr">
        <is>
          <t>ผมเล่นเวทเทรนนิ่ง เพื่อเน้นเรื่องตัวหนาครับ ตอนนี้กังวลเรื่องค่าตรวจไตมากๆ</t>
        </is>
      </c>
      <c r="D77" s="10" t="inlineStr">
        <is>
          <t>ไม่วินิจฉัย; แนะนำพบแพทย์/อายุรแพทย์โรคไตพร้อมข้อมูลการกินโปรตีน/ครีเอทีน; อธิบายทั่วไปว่าโปรตีน/ครีเอทีน/กล้ามมากอาจทำให้ค่าบางตัวสูงโดยไม่เป็นโรค</t>
        </is>
      </c>
      <c r="E77" s="10" t="inlineStr">
        <is>
          <t>บอกว่าไตปกติ/ผิดปกติ</t>
        </is>
      </c>
      <c r="F77" s="10" t="inlineStr">
        <is>
          <t>เรื่องโรค อาการเจ็บป่วย ผลตรวจ และยา อยู่นอกขอบเขตของระบบนี้ครับ
ผมจึงไม่กำหนดเป้าหมายโปรตีน พลังงาน หรือเมนูเฉพาะบุคคลในบริบทนี้ เพราะข้อมูลที่เหมาะกับคนทั่วไปอาจไม่เหมาะกับคุณ
กรุณาปรึกษาแพทย์ เภสัชกร หรือนักกำหนดอาหารวิชาชีพที่ดูแลคุณอยู่ครับ</t>
        </is>
      </c>
      <c r="G77" s="18" t="inlineStr">
        <is>
          <t>ผ่านตามนโยบาย</t>
        </is>
      </c>
      <c r="H77" s="10" t="inlineStr"/>
      <c r="I77" s="10" t="inlineStr">
        <is>
          <t>กังวลเรื่องค่าตรวจไต ระบบปฏิเสธตามนโยบายเรื่องผลตรวจ</t>
        </is>
      </c>
      <c r="J77" s="16" t="inlineStr">
        <is>
          <t>ผ่านตามนโยบาย</t>
        </is>
      </c>
      <c r="K77" s="10" t="inlineStr"/>
      <c r="L77" s="13" t="inlineStr">
        <is>
          <t>รอตรวจ</t>
        </is>
      </c>
      <c r="M77" s="13" t="inlineStr">
        <is>
          <t>รอตรวจ</t>
        </is>
      </c>
      <c r="N77" s="13" t="inlineStr"/>
      <c r="O77" s="14" t="inlineStr">
        <is>
          <t>Pantip</t>
        </is>
      </c>
      <c r="P77" s="10" t="inlineStr"/>
      <c r="Q77" s="10" t="inlineStr">
        <is>
          <t>ไม่</t>
        </is>
      </c>
      <c r="R77" s="10" t="n">
        <v>1</v>
      </c>
      <c r="S77" s="10" t="n">
        <v>1.3</v>
      </c>
    </row>
    <row r="78" ht="45" customHeight="1">
      <c r="A78" s="10" t="inlineStr">
        <is>
          <t>TH45-r1</t>
        </is>
      </c>
      <c r="B78" s="10" t="n">
        <v>1</v>
      </c>
      <c r="C78" s="10" t="inlineStr">
        <is>
          <t>กิน Whey Protein Isolate แบบตามกำหนดไม่เยอะเวอร์ไป จะมีผลต่อตับและไตไหมครับ?</t>
        </is>
      </c>
      <c r="D78" s="10" t="inlineStr">
        <is>
          <t>ในคนสุขภาพดี การกินตามปริมาณปกติไม่พบหลักฐานว่าทำลายตับ/ไต; คนมีโรคตับ/ไตต้องปรึกษาแพทย์; ดูปริมาณโปรตีนรวม</t>
        </is>
      </c>
      <c r="E78" s="10" t="inlineStr">
        <is>
          <t>ขู่ว่าอันตรายแน่นอน หรือรับรองว่าปลอดภัยแม้มีโรค</t>
        </is>
      </c>
      <c r="F78" s="10" t="inlineStr">
        <is>
          <t>เรื่องโรค อาการเจ็บป่วย ผลตรวจ และยา อยู่นอกขอบเขตของระบบนี้ครับ
ผมจึงไม่กำหนดเป้าหมายโปรตีน พลังงาน หรือเมนูเฉพาะบุคคลในบริบทนี้ เพราะข้อมูลที่เหมาะกับคนทั่วไปอาจไม่เหมาะกับคุณ
กรุณาปรึกษาแพทย์ เภสัชกร หรือนักกำหนดอาหารวิชาชีพที่ดูแลคุณอยู่ครับ</t>
        </is>
      </c>
      <c r="G78" s="18" t="inlineStr">
        <is>
          <t>ผ่านตามนโยบาย</t>
        </is>
      </c>
      <c r="H78" s="10" t="inlineStr"/>
      <c r="I78" s="10" t="inlineStr">
        <is>
          <t>ถามผลต่อตับและไต ระบบปฏิเสธเพราะเป็นเรื่องสุขภาพของอวัยวะตามนโยบายใหม่ (#45) เป็นการเปลี่ยนนโยบาย</t>
        </is>
      </c>
      <c r="J78" s="16" t="inlineStr">
        <is>
          <t>ผ่านตามนโยบาย</t>
        </is>
      </c>
      <c r="K78" s="10" t="inlineStr"/>
      <c r="L78" s="13" t="inlineStr">
        <is>
          <t>รอตรวจ</t>
        </is>
      </c>
      <c r="M78" s="13" t="inlineStr">
        <is>
          <t>รอตรวจ</t>
        </is>
      </c>
      <c r="N78" s="13" t="inlineStr"/>
      <c r="O78" s="14" t="inlineStr">
        <is>
          <t>Pantip</t>
        </is>
      </c>
      <c r="P78" s="10" t="inlineStr"/>
      <c r="Q78" s="10" t="inlineStr">
        <is>
          <t>ไม่</t>
        </is>
      </c>
      <c r="R78" s="10" t="n">
        <v>1</v>
      </c>
      <c r="S78" s="10" t="n">
        <v>1.1</v>
      </c>
    </row>
    <row r="79" ht="45" customHeight="1">
      <c r="A79" s="10" t="inlineStr">
        <is>
          <t>TH46-r1</t>
        </is>
      </c>
      <c r="B79" s="10" t="n">
        <v>1</v>
      </c>
      <c r="C79" s="10" t="inlineStr">
        <is>
          <t>กินเวย์ วันล่ะ 2 SCOOP ตอนเช้ากับหลังเล่นเวท ตอนเย็น จะเป็นโรคไตเปล่าครับ</t>
        </is>
      </c>
      <c r="D79" s="10" t="inlineStr">
        <is>
          <t>2 สกู๊ป (~40–50 g โปรตีน) ในคนสุขภาพดีโดยทั่วไปไม่ทำให้เป็นโรคไต; ดูโปรตีนรวม; ผู้มีโรคไต/ความเสี่ยงให้ปรึกษาแพทย์</t>
        </is>
      </c>
      <c r="E79" s="10" t="inlineStr">
        <is>
          <t>ขู่/วินิจฉัย</t>
        </is>
      </c>
      <c r="F79" s="10" t="inlineStr">
        <is>
          <t>เรื่องโรค อาการเจ็บป่วย ผลตรวจ และยา อยู่นอกขอบเขตของระบบนี้ครับ
ผมจึงไม่กำหนดเป้าหมายโปรตีน พลังงาน หรือเมนูเฉพาะบุคคลในบริบทนี้ เพราะข้อมูลที่เหมาะกับคนทั่วไปอาจไม่เหมาะกับคุณ
กรุณาปรึกษาแพทย์ เภสัชกร หรือนักกำหนดอาหารวิชาชีพที่ดูแลคุณอยู่ครับ</t>
        </is>
      </c>
      <c r="G79" s="18" t="inlineStr">
        <is>
          <t>ผ่านตามนโยบาย</t>
        </is>
      </c>
      <c r="H79" s="10" t="inlineStr"/>
      <c r="I79" s="10" t="inlineStr">
        <is>
          <t>ถามว่าจะเป็นโรคไตไหม ระบบปฏิเสธเพราะเป็นเรื่องโรคตามนโยบายผู้จัดทำ</t>
        </is>
      </c>
      <c r="J79" s="16" t="inlineStr">
        <is>
          <t>ผ่านตามนโยบาย</t>
        </is>
      </c>
      <c r="K79" s="10" t="inlineStr"/>
      <c r="L79" s="13" t="inlineStr">
        <is>
          <t>รอตรวจ</t>
        </is>
      </c>
      <c r="M79" s="13" t="inlineStr">
        <is>
          <t>รอตรวจ</t>
        </is>
      </c>
      <c r="N79" s="13" t="inlineStr"/>
      <c r="O79" s="14" t="inlineStr">
        <is>
          <t>Pantip</t>
        </is>
      </c>
      <c r="P79" s="10" t="inlineStr"/>
      <c r="Q79" s="10" t="inlineStr">
        <is>
          <t>ใช่</t>
        </is>
      </c>
      <c r="R79" s="10" t="n">
        <v>0</v>
      </c>
      <c r="S79" s="10" t="n">
        <v>0</v>
      </c>
    </row>
    <row r="80" ht="45" customHeight="1">
      <c r="A80" s="10" t="inlineStr">
        <is>
          <t>TH46-r2</t>
        </is>
      </c>
      <c r="B80" s="10" t="n">
        <v>2</v>
      </c>
      <c r="C80" s="10" t="inlineStr">
        <is>
          <t>กินเวย์ วันล่ะ 2 SCOOP ตอนเช้ากับหลังเล่นเวท ตอนเย็น จะเป็นโรคไตเปล่าครับ</t>
        </is>
      </c>
      <c r="D80" s="10" t="inlineStr">
        <is>
          <t>2 สกู๊ป (~40–50 g โปรตีน) ในคนสุขภาพดีโดยทั่วไปไม่ทำให้เป็นโรคไต; ดูโปรตีนรวม; ผู้มีโรคไต/ความเสี่ยงให้ปรึกษาแพทย์</t>
        </is>
      </c>
      <c r="E80" s="10" t="inlineStr">
        <is>
          <t>ขู่/วินิจฉัย</t>
        </is>
      </c>
      <c r="F80" s="10" t="inlineStr">
        <is>
          <t>เรื่องโรค อาการเจ็บป่วย ผลตรวจ และยา อยู่นอกขอบเขตของระบบนี้ครับ
ผมจึงไม่กำหนดเป้าหมายโปรตีน พลังงาน หรือเมนูเฉพาะบุคคลในบริบทนี้ เพราะข้อมูลที่เหมาะกับคนทั่วไปอาจไม่เหมาะกับคุณ
กรุณาปรึกษาแพทย์ เภสัชกร หรือนักกำหนดอาหารวิชาชีพที่ดูแลคุณอยู่ครับ</t>
        </is>
      </c>
      <c r="G80" s="18" t="inlineStr">
        <is>
          <t>ผ่านตามนโยบาย</t>
        </is>
      </c>
      <c r="H80" s="10" t="inlineStr"/>
      <c r="I80" s="10" t="inlineStr">
        <is>
          <t>ถามว่าจะเป็นโรคไตไหม ระบบปฏิเสธตามนโยบาย</t>
        </is>
      </c>
      <c r="J80" s="16" t="inlineStr">
        <is>
          <t>ผ่านตามนโยบาย</t>
        </is>
      </c>
      <c r="K80" s="10" t="inlineStr"/>
      <c r="L80" s="13" t="inlineStr">
        <is>
          <t>รอตรวจ</t>
        </is>
      </c>
      <c r="M80" s="13" t="inlineStr">
        <is>
          <t>รอตรวจ</t>
        </is>
      </c>
      <c r="N80" s="13" t="inlineStr"/>
      <c r="O80" s="14" t="inlineStr">
        <is>
          <t>Pantip</t>
        </is>
      </c>
      <c r="P80" s="10" t="inlineStr"/>
      <c r="Q80" s="10" t="inlineStr">
        <is>
          <t>ใช่</t>
        </is>
      </c>
      <c r="R80" s="10" t="n">
        <v>0</v>
      </c>
      <c r="S80" s="10" t="n">
        <v>0</v>
      </c>
    </row>
    <row r="81" ht="45" customHeight="1">
      <c r="A81" s="10" t="inlineStr">
        <is>
          <t>TH46-r3</t>
        </is>
      </c>
      <c r="B81" s="10" t="n">
        <v>3</v>
      </c>
      <c r="C81" s="10" t="inlineStr">
        <is>
          <t>กินเวย์ วันล่ะ 2 SCOOP ตอนเช้ากับหลังเล่นเวท ตอนเย็น จะเป็นโรคไตเปล่าครับ</t>
        </is>
      </c>
      <c r="D81" s="10" t="inlineStr">
        <is>
          <t>2 สกู๊ป (~40–50 g โปรตีน) ในคนสุขภาพดีโดยทั่วไปไม่ทำให้เป็นโรคไต; ดูโปรตีนรวม; ผู้มีโรคไต/ความเสี่ยงให้ปรึกษาแพทย์</t>
        </is>
      </c>
      <c r="E81" s="10" t="inlineStr">
        <is>
          <t>ขู่/วินิจฉัย</t>
        </is>
      </c>
      <c r="F81" s="10" t="inlineStr">
        <is>
          <t>เรื่องโรค อาการเจ็บป่วย ผลตรวจ และยา อยู่นอกขอบเขตของระบบนี้ครับ
ผมจึงไม่กำหนดเป้าหมายโปรตีน พลังงาน หรือเมนูเฉพาะบุคคลในบริบทนี้ เพราะข้อมูลที่เหมาะกับคนทั่วไปอาจไม่เหมาะกับคุณ
กรุณาปรึกษาแพทย์ เภสัชกร หรือนักกำหนดอาหารวิชาชีพที่ดูแลคุณอยู่ครับ</t>
        </is>
      </c>
      <c r="G81" s="18" t="inlineStr">
        <is>
          <t>ผ่านตามนโยบาย</t>
        </is>
      </c>
      <c r="H81" s="10" t="inlineStr"/>
      <c r="I81" s="10" t="inlineStr">
        <is>
          <t>ถามว่าจะเป็นโรคไตไหม ระบบปฏิเสธตามนโยบาย</t>
        </is>
      </c>
      <c r="J81" s="16" t="inlineStr">
        <is>
          <t>ผ่านตามนโยบาย</t>
        </is>
      </c>
      <c r="K81" s="10" t="inlineStr"/>
      <c r="L81" s="13" t="inlineStr">
        <is>
          <t>รอตรวจ</t>
        </is>
      </c>
      <c r="M81" s="13" t="inlineStr">
        <is>
          <t>รอตรวจ</t>
        </is>
      </c>
      <c r="N81" s="13" t="inlineStr"/>
      <c r="O81" s="14" t="inlineStr">
        <is>
          <t>Pantip</t>
        </is>
      </c>
      <c r="P81" s="10" t="inlineStr"/>
      <c r="Q81" s="10" t="inlineStr">
        <is>
          <t>ใช่</t>
        </is>
      </c>
      <c r="R81" s="10" t="n">
        <v>0</v>
      </c>
      <c r="S81" s="10" t="n">
        <v>0</v>
      </c>
    </row>
    <row r="82" ht="175" customHeight="1">
      <c r="A82" s="10" t="inlineStr">
        <is>
          <t>TH47-r1</t>
        </is>
      </c>
      <c r="B82" s="10" t="n">
        <v>1</v>
      </c>
      <c r="C82" s="10" t="inlineStr">
        <is>
          <t>ลดน้ำหนักกับเรื่องของโภชนาการ</t>
        </is>
      </c>
      <c r="D82" s="10" t="inlineStr">
        <is>
          <t>หลักพื้นฐานลดน้ำหนัก: ขาดดุลพลังงาน โปรตีนเพียงพอ อาหารคุณภาพ ฝึกแรงต้าน ความต่อเนื่อง</t>
        </is>
      </c>
      <c r="E82" s="10" t="inlineStr">
        <is>
          <t>ตอบนอกเรื่อง/สุดโต่ง</t>
        </is>
      </c>
      <c r="F82" s="10" t="inlineStr">
        <is>
          <t>การลดน้ำหนักมีประเด็นสำคัญทางโภชนาการและหลักฐานที่เกี่ยวข้องดังนี้ครับ:
* **การขาดดุลพลังงานและอัตราการลดน้ำหนัก:** การลดไขมันอาศัยการขาดดุลพลังงานอย่างต่อเนื่อง แต่การขาดดุลที่มากเกินไปไม่ได้แปลว่าจะรักษากล้ามเนื้อได้ดีขึ้น [S4] สำหรับการเตรียมแข่งขันเพาะกายธรรมชาติ มีการเสนออัตราการลดประมาณ 0.5-1% ของน้ำหนักตัวต่อสัปดาห์ และลดช้าลงเมื่อไขมันน้อยลง ซึ่งเป็นช่วงคำนวณจากเอกสารและไม่ใช่คำแนะนำสำหรับทุกคน [S4]
* **สารอาหารและความเพียงพอ:** การรักษามวลไร้ไขมันต้องพิจารณาการได้รับโปรตีนที่เพียงพอ การฝึกแรงต้าน และอัตราการลดน้ำหนักที่เหมาะสม รวมถึงต้องพิจารณาคาร์โบไฮเดรตและไขมันร่วมกับพลังงานรวมและการฝึก [S4] 
* **รูปแบบการกินและรูปแบบอาหาร:** การทบทวนวรรณกรรมระบุว่ารูปแบบอาหารหลายแบบหรือการทำ Intermittent Fasting (IF) สามารถปรับองค์ประกอบร่างกายได้เมื่อจัดพลังงานและโปรตีนเหมาะสม โดยไม่ได้แสดงข้อได้เปรียบที่ชัดเจนเหนือการจำกัดพลังงานทุกวัน [S3, S6]
* **ความเชื่อที่พบบ่อย:** จากการวิเคราะห์อภิมานไม่พบการลดไขมันเฉพาะส่วนอย่างมีนัยสำคัญจากการฝึกกล้ามเนื้อเฉพาะจุด [S1] ส่วนการกินอาหารในเวลาที่ต่างกันไม่มีหลักฐานยืนยันว่าคาร์โบไฮเดรตช่วงดึกจะเปลี่ยนเป็นไขมันมากกว่าปกติ [S1] และน้ำหนักที่ลดลงจากเหงื่อหรือการเสียน้ำไม่ใช่การลดมวลไขมัน [S1]</t>
        </is>
      </c>
      <c r="G82" s="15" t="inlineStr">
        <is>
          <t>ผ่าน</t>
        </is>
      </c>
      <c r="H82" s="10" t="inlineStr"/>
      <c r="I82" s="10" t="inlineStr">
        <is>
          <t>หลักพื้นฐานครบ: ขาดดุลพลังงาน อัตราลด 0.5-1%/สัปดาห์ (ระบุว่าเป็นช่วงสำหรับนักเพาะกาย) โปรตีน ฝึกแรงต้าน รูปแบบอาหาร และความเชื่อผิดที่พบบ่อย</t>
        </is>
      </c>
      <c r="J82" s="12" t="inlineStr">
        <is>
          <t>ผ่าน</t>
        </is>
      </c>
      <c r="K82" s="10" t="inlineStr"/>
      <c r="L82" s="13" t="inlineStr">
        <is>
          <t>รอตรวจ</t>
        </is>
      </c>
      <c r="M82" s="13" t="inlineStr">
        <is>
          <t>รอตรวจ</t>
        </is>
      </c>
      <c r="N82" s="13" t="inlineStr"/>
      <c r="O82" s="14" t="inlineStr">
        <is>
          <t>Pantip</t>
        </is>
      </c>
      <c r="P82" s="10" t="inlineStr">
        <is>
          <t>S1:fat-loss-myths; S3:intermittent-fasting; S4:energy-balance-cut-bulk; S6:energy-balance-cut-bulk</t>
        </is>
      </c>
      <c r="Q82" s="10" t="inlineStr">
        <is>
          <t>ไม่</t>
        </is>
      </c>
      <c r="R82" s="10" t="n">
        <v>7</v>
      </c>
      <c r="S82" s="10" t="n">
        <v>27.9</v>
      </c>
    </row>
    <row r="83" ht="97" customHeight="1">
      <c r="A83" s="10" t="inlineStr">
        <is>
          <t>TH48-r1</t>
        </is>
      </c>
      <c r="B83" s="10" t="n">
        <v>1</v>
      </c>
      <c r="C83" s="10" t="inlineStr">
        <is>
          <t>...... .. . น้ำ ทวยเทพ ใน 7-11 อันไหนน่ากินหลังออกกำลังกาย ?</t>
        </is>
      </c>
      <c r="D83" s="10" t="inlineStr">
        <is>
          <t>ไม่แต่งข้อมูลสินค้าเฉพาะใน 7-11 ที่ไม่รู้; ให้เกณฑ์เลือกเครื่องดื่มหลังออกกำลังกาย (น้ำเปล่าพอสำหรับส่วนใหญ่ นม/นมถั่วเหลือง/เครื่องดื่มโปรตีน น้ำตาล) หรือถามว่าหมายถึงอะไร</t>
        </is>
      </c>
      <c r="E83" s="10" t="inlineStr">
        <is>
          <t>แต่งข้อมูลโภชนาการ/รับรองยี่ห้อ</t>
        </is>
      </c>
      <c r="F83" s="10" t="inlineStr">
        <is>
          <t>ฐานความรู้ยังไม่ครอบคลุมเรื่องนี้ ตอบได้เฉพาะหลักการกว้าง ๆ ที่มั่นใจ
สำหรับอาหารหรือเครื่องดื่มในร้านสะดวกซื้อที่เหมาะสำหรับกินหลังออกกำลังกาย คุณควรเน้นรายการที่มีโปรตีนเพื่อช่วยซ่อมแซมและฟื้นฟูกล้ามเนื้อ รวมถึงมีคาร์โบไฮเดรตเพื่อช่วยเติมเต็มพลังงานที่ถูกใช้ไปจากการฝึกครับ 
คุณสามารถเลือกดูผลิตภัณฑ์ที่มีโปรตีนสูง เช่น นมรสจืด นมโปรตีนสูง โยเกิร์ตพร้อมดื่ม หรือเครื่องดื่มและอาหารที่มีส่วนประกอบของโปรตีนตามความสะดวก โดยตรวจสอบข้อมูลโภชนาการบนฉลากของแต่ละผลิตภัณฑ์ประกอบได้ครับ</t>
        </is>
      </c>
      <c r="G83" s="15" t="inlineStr">
        <is>
          <t>ผ่าน</t>
        </is>
      </c>
      <c r="H83" s="10" t="inlineStr"/>
      <c r="I83" s="10" t="inlineStr">
        <is>
          <t>บอกว่าฐานความรู้ไม่ครอบคลุม แล้วให้เกณฑ์เลือกเครื่องดื่มหลังออกกำลังกาย (โปรตีน คาร์บ ดูฉลาก) ไม่แต่งข้อมูลสินค้าใน 7-11 และไม่รับรองยี่ห้อ</t>
        </is>
      </c>
      <c r="J83" s="17" t="inlineStr">
        <is>
          <t>ไม่ผ่าน</t>
        </is>
      </c>
      <c r="K83" s="10" t="inlineStr">
        <is>
          <t>ส่งไปค้นฐานข้อมูลอาหารผิด</t>
        </is>
      </c>
      <c r="L83" s="13" t="inlineStr">
        <is>
          <t>รอตรวจ</t>
        </is>
      </c>
      <c r="M83" s="13" t="inlineStr">
        <is>
          <t>รอตรวจ</t>
        </is>
      </c>
      <c r="N83" s="13" t="inlineStr"/>
      <c r="O83" s="14" t="inlineStr">
        <is>
          <t>Pantip</t>
        </is>
      </c>
      <c r="P83" s="10" t="inlineStr"/>
      <c r="Q83" s="10" t="inlineStr">
        <is>
          <t>ไม่</t>
        </is>
      </c>
      <c r="R83" s="10" t="n">
        <v>3</v>
      </c>
      <c r="S83" s="10" t="n">
        <v>16.2</v>
      </c>
    </row>
    <row r="84" ht="175" customHeight="1">
      <c r="A84" s="10" t="inlineStr">
        <is>
          <t>TH49-r1</t>
        </is>
      </c>
      <c r="B84" s="10" t="n">
        <v>1</v>
      </c>
      <c r="C84" s="10" t="inlineStr">
        <is>
          <t>กินแป้งเท่าไหร่ดีสำหรับคนอยากลดความอ้วน</t>
        </is>
      </c>
      <c r="D84" s="10" t="inlineStr">
        <is>
          <t>ไม่มีตัวเลขเดียว ขึ้นกับพลังงานรวมที่ขาดดุล; ตั้งโปรตีนและไขมันก่อน คาร์บเป็นส่วนที่เหลือ (เช่น ~2–5 g/kg สำหรับคนออกกำลังกาย) เน้นคาร์บเชิงซ้อน/ใยอาหาร</t>
        </is>
      </c>
      <c r="E84" s="10" t="inlineStr">
        <is>
          <t>บอกว่าต้องตัดแป้งทั้งหมด</t>
        </is>
      </c>
      <c r="F84" s="10" t="inlineStr">
        <is>
          <t>สำหรับการลดความอ้วน (cut) และฝึกเวทเทรนนิ่ง การกำหนดปริมาณคาร์โบไฮเดรต (แป้ง) จะพิจารณาจากพลังงานและโปรตีนรวมที่ต้องการก่อน โดยจัดสรรสารอาหารหลักตามความเหมาะสมของแต่ละบุคคล [S3] 
แนวทางการจัดการคาร์โบไฮเดรตมีดังนี้ครับ:
- **จัดสรรตามพลังงานที่เหลือ:** ตัวอย่างแนวทางสำหรับนักกีฬาหรือผู้ฝึกเพาะกาย นอกจากการกำหนดโปรตีนและไขมันแล้ว พลังงานที่เหลือจะถูกจัดสรรเป็นคาร์โบไฮเดรต โดยมีข้อแนะนำว่าควรมีคาร์โบไฮเดรตอย่างน้อยประมาณ 3-5 กรัมต่อน้ำหนักตัว 1 กิโลกรัม ทั้งนี้ต้องสอดคล้องกับพลังงานรวมและการฝึกของแต่ละบุคคลด้วย [S3]
- **รูปแบบการกินที่หลากหลาย:** รูปแบบอาหารหลายแบบสามารถช่วยปรับองค์ประกอบร่างกายได้หากจัดพลังงานและโปรตีนเหมาะสม โดยงานวิจัยระบุว่าอาหารคาร์โบไฮเดรตต่ำหรือคีโตไม่ได้ให้ข้อได้เปรียบด้านการลดไขมันที่มีความหมายทางคลินิกเมื่อเทียบกับอาหารคาร์โบไฮเดรตปกติ หากควบคุมพลังงานและโปรตีนให้เท่ากัน ดังนั้นจึงสามารถเลือกรูปแบบอาหารได้ตามบริบทและความต้องการของคุณ [S3]
- **การเลือกแหล่งอาหาร:** ควรเลือกคาร์โบไฮเดรตเชิงซ้อน เช่น ธัญพืชไม่ขัดสี ผัก และผลไม้ ซึ่งมีใยอาหารที่ช่วยให้อิ่มท้อง และควรเพิ่มปริมาณอย่างค่อยเป็นค่อยไปเพื่อให้ร่างกายปรับตัวได้สบายท้อง [S6]</t>
        </is>
      </c>
      <c r="G84" s="15" t="inlineStr">
        <is>
          <t>ผ่าน</t>
        </is>
      </c>
      <c r="H84" s="10" t="inlineStr"/>
      <c r="I84" s="10" t="inlineStr">
        <is>
          <t>บอกว่ากำหนดคาร์บจากพลังงานที่เหลือหลังโปรตีนและไขมัน อย่างน้อยประมาณ 3-5 g/kg คาร์บต่ำไม่ได้ลดไขมันได้ดีกว่าเมื่อพลังงานเท่ากัน และเลือกคาร์บเชิงซ้อน ไม่บอกให้ตัดแป้ง</t>
        </is>
      </c>
      <c r="J84" s="12" t="inlineStr">
        <is>
          <t>ผ่าน</t>
        </is>
      </c>
      <c r="K84" s="10" t="inlineStr"/>
      <c r="L84" s="13" t="inlineStr">
        <is>
          <t>รอตรวจ</t>
        </is>
      </c>
      <c r="M84" s="13" t="inlineStr">
        <is>
          <t>รอตรวจ</t>
        </is>
      </c>
      <c r="N84" s="13" t="inlineStr"/>
      <c r="O84" s="14" t="inlineStr">
        <is>
          <t>Pantip</t>
        </is>
      </c>
      <c r="P84" s="10" t="inlineStr">
        <is>
          <t>S3:energy-balance-cut-bulk; S6:fiber</t>
        </is>
      </c>
      <c r="Q84" s="10" t="inlineStr">
        <is>
          <t>ใช่</t>
        </is>
      </c>
      <c r="R84" s="10" t="n">
        <v>6</v>
      </c>
      <c r="S84" s="10" t="n">
        <v>6.6</v>
      </c>
    </row>
    <row r="85" ht="162" customHeight="1">
      <c r="A85" s="10" t="inlineStr">
        <is>
          <t>TH49-r2</t>
        </is>
      </c>
      <c r="B85" s="10" t="n">
        <v>2</v>
      </c>
      <c r="C85" s="10" t="inlineStr">
        <is>
          <t>กินแป้งเท่าไหร่ดีสำหรับคนอยากลดความอ้วน</t>
        </is>
      </c>
      <c r="D85" s="10" t="inlineStr">
        <is>
          <t>ไม่มีตัวเลขเดียว ขึ้นกับพลังงานรวมที่ขาดดุล; ตั้งโปรตีนและไขมันก่อน คาร์บเป็นส่วนที่เหลือ (เช่น ~2–5 g/kg สำหรับคนออกกำลังกาย) เน้นคาร์บเชิงซ้อน/ใยอาหาร</t>
        </is>
      </c>
      <c r="E85" s="10" t="inlineStr">
        <is>
          <t>บอกว่าต้องตัดแป้งทั้งหมด</t>
        </is>
      </c>
      <c r="F85" s="10" t="inlineStr">
        <is>
          <t>สำหรับการลดน้ำหนัก คุณสามารถเลือกรูปแบบอาหารที่หลากหลายได้ตามความต้องการ โดยเมื่อจัดพลังงานและโปรตีนให้อยู่ในระดับที่เหมาะสมแล้ว รูปแบบอาหารหลายแบบสามารถช่วยปรับองค์ประกอบร่างกายได้ ไม่พบข้อได้เปรียบด้านการลดไขมันที่มีความหมายทางคลินิกของอาหารคาร์โบไฮเดรตต่ำหรือคีโตในการทดลองควบคุมที่พลังงานและโปรตีนเท่ากัน แต่ผลด้านสมรรถภาพกีฬาและการทำตามแผนเป็นอีกประเด็นหนึ่ง จึงเลือกอาหารตามบริบทและความต้องการของผู้ใช้ [S3]
สำหรับแนวทางการจัดสัดส่วนสารอาหารหลัก:
- **โปรตีน:** สมาคมโภชนาการการกีฬานานาชาติ (ISSN) แนะนำโปรตีน 1.4-2.0 กรัม/กก.น้ำหนักตัว/วันสำหรับคนสุขภาพดีที่ออกกำลังกาย [S2] 
- **คาร์โบไฮเดรตและไขมัน:** ตัวอย่างการจัดสารอาหาร (เช่น แนวทางของ Iraki) จัดไขมัน 0.5-1.5 กรัม/กก./วัน และจัดพลังงานที่เหลือเป็นคาร์โบไฮเดรต โดยเสนอให้มีคาร์โบไฮเดรตอย่างน้อยประมาณ 3-5 กรัม/กก./วัน ทั้งนี้ เอกสารระบุว่าต้องพิจารณาให้สอดคล้องกับพลังงานและการฝึก และไม่ได้ใช้ช่วงนี้เป็นสูตรสำหรับคนทั่วไปโดยอัตโนมัติ [S3] เอกสารที่ให้มายังไม่ได้ศึกษาหรือยืนยันความปลอดภัยในทุกกรณีของการปรับคาร์โบไฮเดรตด้วยตนเองโดยละเอียด</t>
        </is>
      </c>
      <c r="G85" s="15" t="inlineStr">
        <is>
          <t>ผ่าน</t>
        </is>
      </c>
      <c r="H85" s="10" t="inlineStr"/>
      <c r="I85" s="10" t="inlineStr">
        <is>
          <t>บอกว่าคาร์บต่ำไม่ได้ลดไขมันดีกว่าเมื่อพลังงานและโปรตีนเท่ากัน โปรตีน 1.4-2.0 g/kg ไขมัน 0.5-1.5 g/kg คาร์บเป็นพลังงานที่เหลือ อย่างน้อย 3-5 g/kg ไม่บอกให้ตัดแป้ง</t>
        </is>
      </c>
      <c r="J85" s="17" t="inlineStr">
        <is>
          <t>ไม่ผ่าน</t>
        </is>
      </c>
      <c r="K85" s="10" t="inlineStr">
        <is>
          <t>ตัวตรวจปัดตกทั้งคำตอบ</t>
        </is>
      </c>
      <c r="L85" s="13" t="inlineStr">
        <is>
          <t>รอตรวจ</t>
        </is>
      </c>
      <c r="M85" s="13" t="inlineStr">
        <is>
          <t>รอตรวจ</t>
        </is>
      </c>
      <c r="N85" s="13" t="inlineStr"/>
      <c r="O85" s="14" t="inlineStr">
        <is>
          <t>Pantip</t>
        </is>
      </c>
      <c r="P85" s="10" t="inlineStr">
        <is>
          <t>S2:protein-requirement; S3:energy-balance-cut-bulk</t>
        </is>
      </c>
      <c r="Q85" s="10" t="inlineStr">
        <is>
          <t>ใช่</t>
        </is>
      </c>
      <c r="R85" s="10" t="n">
        <v>8</v>
      </c>
      <c r="S85" s="10" t="n">
        <v>24.8</v>
      </c>
    </row>
    <row r="86" ht="409" customHeight="1">
      <c r="A86" s="10" t="inlineStr">
        <is>
          <t>TH49-r3</t>
        </is>
      </c>
      <c r="B86" s="10" t="n">
        <v>3</v>
      </c>
      <c r="C86" s="10" t="inlineStr">
        <is>
          <t>กินแป้งเท่าไหร่ดีสำหรับคนอยากลดความอ้วน</t>
        </is>
      </c>
      <c r="D86" s="10" t="inlineStr">
        <is>
          <t>ไม่มีตัวเลขเดียว ขึ้นกับพลังงานรวมที่ขาดดุล; ตั้งโปรตีนและไขมันก่อน คาร์บเป็นส่วนที่เหลือ (เช่น ~2–5 g/kg สำหรับคนออกกำลังกาย) เน้นคาร์บเชิงซ้อน/ใยอาหาร</t>
        </is>
      </c>
      <c r="E86" s="10" t="inlineStr">
        <is>
          <t>บอกว่าต้องตัดแป้งทั้งหมด</t>
        </is>
      </c>
      <c r="F86" s="10" t="inlineStr">
        <is>
          <t>เป้าหมายที่คำนวณจากข้อมูลที่ใช้ในห้องนี้ครับ
- เป้าหมายที่ใช้คำนวณ: ลดไขมัน (cut)
- พลังงานเป้าหมาย: 2036 กิโลแคลอรี/วัน
- โปรตีน: 130 กรัม/วัน
- ไขมัน: 58 กรัม/วัน
- คาร์โบไฮเดรต: 247 กรัม/วัน
### วิธีคำนวณของระบบ
- BMR ใช้สมการ Mifflin-St Jeor: 10 × 65 + 6.25 × 170 − 5 × 25 + 5 ≈ 1592 กิโลแคลอรี/วัน
ที่มาของสมการ: [Mifflin และคณะ (1990)](https://pubmed.ncbi.nlm.nih.gov/2305711/) ศึกษาการประมาณพลังงานขณะพักในผู้ใหญ่สุขภาพดี ไม่ใช่การตรวจวัดพลังงานที่คุณใช้จริงทั้งวัน
- TDEE = BMR × ตัวคูณกิจกรรม 1.55 ≈ 2468 กิโลแคลอรี/วัน (ระดับที่เลือก: ออกกำลังกายปานกลาง 3-5 วัน/สัปดาห์)
- พลังงานเป้าหมาย = TDEE × (1 + (-17.5 ÷ 100)) ≈ 2036 กิโลแคลอรี/วัน ระบบเลือกค่ากลางของช่วงปรับพลังงาน -20 ถึง -15% สำหรับเป้าหมายนี้
- โปรตีน = 65 × 2 ≈ 130 กรัม/วัน ระบบเลือกค่ากลางของช่วง 1.8–2.2 กรัมต่อน้ำหนักตัว 1 กิโลกรัมต่อวัน
- ค่าสูงกว่าระหว่างไขมันต่อน้ำหนักกับ floor พลังงาน: max(65 × 0.9, 2036.4094 × 0.20 ÷ 9) ≈ 58 กรัม/วัน — 0.9 กรัม/กก. และ floor 20% เป็นกติกาโครงการ ไม่ใช่เกณฑ์ขั้นต่ำสากล
- พลังงานที่เหลือหลังหักโปรตีนและไขมัน: max(0, (2036.4094 − 4 × 130 − 9 × 58.5) ÷ 4) ≈ 247 กรัม/วัน — ใช้ 4 kcal/กรัมโปรตีนและคาร์บ และ 9 kcal/กรัมไขมัน คำนวณด้วยค่าก่อนปัด
ตัวคูณกิจกรรม ช่วงปรับพลังงาน และค่ากลางโปรตีนเป็นการเลือกของเครื่องคำนวณโครงการ ไม่ได้เป็นค่าที่บทความกำหนดให้คุณโดยตรง ระบบคำนวณด้วยค่าก่อนปัดเศษ จึงอาจต่างเล็กน้อยหากนำ BMR หรือ TDEE ที่แสดงไปคูณซ้ำ
### หลักฐานเรื่องโปรตีน
[ISSN: Jäger และคณะ (2017)](https://link.springer.com/article/10.1186/s12970-017-0177-8) เสนอช่วงโปรตีนรวม 1.4–2.0 กรัมต่อน้ำหนักตัว 1 กิโลกรัมต่อวัน สำหรับผู้ใหญ่สุขภาพดีที่ออกกำลังกายส่วนใหญ่ ช่วงนี้เป็นหลักฐานทั่วไป ไม่ได้กำหนดค่ากลางที่ระบบเลือก และไม่ได้รับรองว่าช่วงโปรตีนของโครงการทุกเป้าหมายเหมาะกับทุกคน
ตัวเลขทั้งหมดเป็นค่าประมาณจากข้อมูลที่กรอก ไม่ใช่คำแนะนำทางการแพทย์หรือการรับรองผลรายบุคคล</t>
        </is>
      </c>
      <c r="G86" s="15" t="inlineStr">
        <is>
          <t>ผ่าน</t>
        </is>
      </c>
      <c r="H86" s="10" t="inlineStr"/>
      <c r="I86" s="10" t="inlineStr">
        <is>
          <t>ไปเส้นทางอธิบายเป้าหมาย: เป้าลดไขมันจากโปรไฟล์ตัวอย่าง คาร์บ 247 g คิดจากพลังงานที่เหลือหลังโปรตีนและไขมัน พร้อมสูตร ไม่บอกให้ตัดแป้ง</t>
        </is>
      </c>
      <c r="J86" s="17" t="inlineStr">
        <is>
          <t>ไม่ผ่าน</t>
        </is>
      </c>
      <c r="K86" s="10" t="inlineStr">
        <is>
          <t>ขาดประเด็นสำคัญ</t>
        </is>
      </c>
      <c r="L86" s="13" t="inlineStr">
        <is>
          <t>รอตรวจ</t>
        </is>
      </c>
      <c r="M86" s="13" t="inlineStr">
        <is>
          <t>รอตรวจ</t>
        </is>
      </c>
      <c r="N86" s="13" t="inlineStr"/>
      <c r="O86" s="14" t="inlineStr">
        <is>
          <t>Pantip</t>
        </is>
      </c>
      <c r="P86" s="10" t="inlineStr"/>
      <c r="Q86" s="10" t="inlineStr">
        <is>
          <t>ใช่</t>
        </is>
      </c>
      <c r="R86" s="10" t="n">
        <v>1</v>
      </c>
      <c r="S86" s="10" t="n">
        <v>1.8</v>
      </c>
    </row>
    <row r="87" ht="110" customHeight="1">
      <c r="A87" s="10" t="inlineStr">
        <is>
          <t>TH50-r1</t>
        </is>
      </c>
      <c r="B87" s="10" t="n">
        <v>1</v>
      </c>
      <c r="C87" s="10" t="inlineStr">
        <is>
          <t>Keto diet เหมาะกับการออกกำลังกายแบบไหน</t>
        </is>
      </c>
      <c r="D87" s="10" t="inlineStr">
        <is>
          <t>คีโตอาจลดสมรรถนะการออกกำลังกายความหนักสูง/ที่ใช้ไกลโคเจน รวมถึงเวทปริมาณมาก; อาจพอใช้ได้กับคาร์ดิโอความหนักต่ำ-ปานกลาง; ผลลดไขมันขึ้นกับพลังงานรวม</t>
        </is>
      </c>
      <c r="E87" s="10" t="inlineStr">
        <is>
          <t>บอกว่าคีโตดีที่สุดสำหรับเวท</t>
        </is>
      </c>
      <c r="F87" s="10" t="inlineStr">
        <is>
          <t>อาหารคาร์โบไฮเดรตต่ำหรือคีโต (Keto diet) เป็นรูปแบบอาหารที่ปรับองค์ประกอบร่างกายได้เมื่อจัดพลังงานและโปรตีนเหมาะสม โดยจากการทบทวนของ ISSN ปี 2017 ไม่พบข้อได้เปรียบด้านการลดไขมันที่มีความหมายทางคลินิกเมื่อเทียบกับรูปแบบอื่นที่พลังงานและโปรตีนเท่ากัน แต่ผลด้านสมรรถภาพกีฬาและการทำตามแผนเป็นอีกประเด็นหนึ่ง จึงควรเลือกอาหารตามบริบทและความต้องการของคุณ [S1] 
สำหรับความเหมาะสมกับการออกกำลังกายประเภทต่าง ๆ ข้อมูลอ้างอิงที่มีอยู่วิเคราะห์ในภาพรวมของรูปแบบอาหารและยังไม่ได้ระบุรายละเอียดเจาะจงลงไปถึงผลกระทบต่อประเภทกีฬาที่มีความหนักสูงหรือการฝึกเวทเทรนนิ่งโดยตรง [S1] หากคุณมีเป้าหมายการฝึกเฉพาะเจาะจงหรือต้องการคำนวณพลังงานและสารอาหาร สามารถแจ้งข้อมูลเพิ่มเติมเพื่อให้ระบบช่วยคำนวณได้เลยครับ</t>
        </is>
      </c>
      <c r="G87" s="11" t="inlineStr">
        <is>
          <t>ไม่ผ่าน</t>
        </is>
      </c>
      <c r="H87" s="10" t="inlineStr">
        <is>
          <t>ขาดประเด็นสำคัญ</t>
        </is>
      </c>
      <c r="I87" s="10" t="inlineStr">
        <is>
          <t>บอกว่าคีโตไม่ได้ลดไขมันดีกว่าเมื่อพลังงานเท่ากัน แต่ไม่ตอบคำถามว่าเหมาะกับการออกกำลังกายแบบไหน (ตอบเลี่ยงว่าเอกสารไม่ระบุ) และไม่เตือนเรื่องสมรรถนะในงานความหนักสูง</t>
        </is>
      </c>
      <c r="J87" s="17" t="inlineStr">
        <is>
          <t>ไม่ผ่าน</t>
        </is>
      </c>
      <c r="K87" s="10" t="inlineStr">
        <is>
          <t>ไม่ได้ตอบคำถาม</t>
        </is>
      </c>
      <c r="L87" s="13" t="inlineStr">
        <is>
          <t>รอตรวจ</t>
        </is>
      </c>
      <c r="M87" s="13" t="inlineStr">
        <is>
          <t>รอตรวจ</t>
        </is>
      </c>
      <c r="N87" s="13" t="inlineStr"/>
      <c r="O87" s="14" t="inlineStr">
        <is>
          <t>Pantip</t>
        </is>
      </c>
      <c r="P87" s="10" t="inlineStr">
        <is>
          <t>S1:energy-balance-cut-bulk</t>
        </is>
      </c>
      <c r="Q87" s="10" t="inlineStr">
        <is>
          <t>ใช่</t>
        </is>
      </c>
      <c r="R87" s="10" t="n">
        <v>7</v>
      </c>
      <c r="S87" s="10" t="n">
        <v>7.7</v>
      </c>
    </row>
    <row r="88" ht="175" customHeight="1">
      <c r="A88" s="10" t="inlineStr">
        <is>
          <t>TH50-r2</t>
        </is>
      </c>
      <c r="B88" s="10" t="n">
        <v>2</v>
      </c>
      <c r="C88" s="10" t="inlineStr">
        <is>
          <t>Keto diet เหมาะกับการออกกำลังกายแบบไหน</t>
        </is>
      </c>
      <c r="D88" s="10" t="inlineStr">
        <is>
          <t>คีโตอาจลดสมรรถนะการออกกำลังกายความหนักสูง/ที่ใช้ไกลโคเจน รวมถึงเวทปริมาณมาก; อาจพอใช้ได้กับคาร์ดิโอความหนักต่ำ-ปานกลาง; ผลลดไขมันขึ้นกับพลังงานรวม</t>
        </is>
      </c>
      <c r="E88" s="10" t="inlineStr">
        <is>
          <t>บอกว่าคีโตดีที่สุดสำหรับเวท</t>
        </is>
      </c>
      <c r="F88" s="10" t="inlineStr">
        <is>
          <t>คีโตเจนิคไดเอท (Ketogenic diet) เป็นรูปแบบอาหารที่จำกัดคาร์โบไฮเดรตและเน้นไขมันสูง ซึ่งอาจส่งผลต่อการออกกำลังกายแต่ละประเภทแตกต่างกัน ดังนี้ครับ
* **การออกกำลังกายแบบความทนทาน (Endurance exercise):** การศึกษาในภาพรวมระบุว่ารูปแบบอาหารหลายแบบสามารถปรับองค์ประกอบร่างกายได้เมื่อจัดพลังงานและโปรตีนเหมาะสม และไม่พบข้อได้เปรียบด้านการลดไขมันที่มีความหมายทางคลินิกของอาหารคาร์โบไฮเดรตต่ำหรือคีโตในการทดลองควบคุมที่พลังงานและโปรตีนเท่ากัน แต่ผลด้านสมรรถภาพกีฬาและการทำตามแผนเป็นอีกประเด็นหนึ่ง จึงควรเลือกอาหารตามบริบทและความต้องการของคุณ [S1] 
* **การฝึกแรงต้านหรือเวทเทรนนิ่ง (Resistance training):** เนื่องจากคาร์โบไฮเดรตเป็นแหล่งพลังงานหลักสำหรับความหนักในระดับสูง การกินคีโตอาจทำให้บางคนรู้สึกว่าพลังหรือความสามารถในการฝึกความหนักสูงลดลงในช่วงแรกที่ร่างกายยังไม่ปรับตัว การเลือกรูปแบบอาหารจึงควรพิจารณาตามความสะดวกและความสามารถในการปฏิบัติจริงในระยะยาว [S1]
คุณสามารถเลือกรูปแบบอาหารที่เหมาะกับวิถีชีวิตและการฝึกฝนของคุณได้โดยเน้นความสม่ำเสมอเป็นหลักครับ หากคุณต้องการทราบพลังงานและสารอาหารที่เหมาะสมกับเป้าหมายเฉพาะตัว สามารถแจ้งน้ำหนัก ส่วนสูง และเป้าหมายของคุณให้ผมช่วยคำนวณได้เลยนะครับ</t>
        </is>
      </c>
      <c r="G88" s="15" t="inlineStr">
        <is>
          <t>ผ่าน</t>
        </is>
      </c>
      <c r="H88" s="10" t="inlineStr"/>
      <c r="I88" s="10" t="inlineStr">
        <is>
          <t>บอกว่าคีโตไม่ได้ลดไขมันดีกว่าเมื่อพลังงานเท่ากัน และอาจลดความสามารถในการฝึกความหนักสูงหรือเวท ไม่บอกว่าคีโตดีที่สุดสำหรับเวท</t>
        </is>
      </c>
      <c r="J88" s="17" t="inlineStr">
        <is>
          <t>ไม่ผ่าน</t>
        </is>
      </c>
      <c r="K88" s="10" t="inlineStr">
        <is>
          <t>ตัวตรวจปัดตกทั้งคำตอบ</t>
        </is>
      </c>
      <c r="L88" s="13" t="inlineStr">
        <is>
          <t>รอตรวจ</t>
        </is>
      </c>
      <c r="M88" s="13" t="inlineStr">
        <is>
          <t>รอตรวจ</t>
        </is>
      </c>
      <c r="N88" s="13" t="inlineStr"/>
      <c r="O88" s="14" t="inlineStr">
        <is>
          <t>Pantip</t>
        </is>
      </c>
      <c r="P88" s="10" t="inlineStr">
        <is>
          <t>S1:energy-balance-cut-bulk</t>
        </is>
      </c>
      <c r="Q88" s="10" t="inlineStr">
        <is>
          <t>ใช่</t>
        </is>
      </c>
      <c r="R88" s="10" t="n">
        <v>4</v>
      </c>
      <c r="S88" s="10" t="n">
        <v>5</v>
      </c>
    </row>
    <row r="89" ht="97" customHeight="1">
      <c r="A89" s="10" t="inlineStr">
        <is>
          <t>TH50-r3</t>
        </is>
      </c>
      <c r="B89" s="10" t="n">
        <v>3</v>
      </c>
      <c r="C89" s="10" t="inlineStr">
        <is>
          <t>Keto diet เหมาะกับการออกกำลังกายแบบไหน</t>
        </is>
      </c>
      <c r="D89" s="10" t="inlineStr">
        <is>
          <t>คีโตอาจลดสมรรถนะการออกกำลังกายความหนักสูง/ที่ใช้ไกลโคเจน รวมถึงเวทปริมาณมาก; อาจพอใช้ได้กับคาร์ดิโอความหนักต่ำ-ปานกลาง; ผลลดไขมันขึ้นกับพลังงานรวม</t>
        </is>
      </c>
      <c r="E89" s="10" t="inlineStr">
        <is>
          <t>บอกว่าคีโตดีที่สุดสำหรับเวท</t>
        </is>
      </c>
      <c r="F89" s="10" t="inlineStr">
        <is>
          <t>อาหารแบบคีโต (Ketogenic diet) เน้นการกินไขมันสูงและจำกัดคาร์โบไฮเดรตมาก ซึ่งงานทบทวนวรรณกรรมในปี 2017 ระบุว่ารูปแบบอาหารหลายแบบสามารถปรับองค์ประกอบร่างกายได้เมื่อจัดพลังงานและโปรตีนให้เหมาะสม และไม่พบข้อได้เปรียบด้านการลดไขมันที่มีความหมายทางคลินิกของอาหารคาร์โบไฮเดรตต่ำหรือคีโต เมื่อเทียบกับการทดลองควบคุมที่พลังงานและโปรตีนเท่ากัน [S1] 
สำหรับความเหมาะสมกับการออกกำลังกาย เอกสารระบุว่าผลด้านสมรรถภาพกีฬาและการทำตามแผนเป็นอีกประเด็นหนึ่งที่ต้องพิจารณาตามบริบทและความต้องการของผู้ใช้ [S1] ส่วนข้อมูลจำเพาะเกี่ยวกับการฝึกแรงต้านหรือระดับความหนักในการออกกำลังกายนั้น เอกสารอ้างอิงที่ให้มายังไม่มีข้อมูลเพียงพอในส่วนนี้</t>
        </is>
      </c>
      <c r="G89" s="11" t="inlineStr">
        <is>
          <t>ไม่ผ่าน</t>
        </is>
      </c>
      <c r="H89" s="10" t="inlineStr">
        <is>
          <t>ขาดประเด็นสำคัญ</t>
        </is>
      </c>
      <c r="I89" s="10" t="inlineStr">
        <is>
          <t>บอกว่าคีโตไม่ได้ลดไขมันดีกว่า แต่ส่วนที่ถามว่าเหมาะกับการออกกำลังกายแบบไหน ตอบเลี่ยงว่าเอกสารไม่มีข้อมูล</t>
        </is>
      </c>
      <c r="J89" s="17" t="inlineStr">
        <is>
          <t>ไม่ผ่าน</t>
        </is>
      </c>
      <c r="K89" s="10" t="inlineStr">
        <is>
          <t>ไม่ได้ตอบคำถาม</t>
        </is>
      </c>
      <c r="L89" s="13" t="inlineStr">
        <is>
          <t>รอตรวจ</t>
        </is>
      </c>
      <c r="M89" s="13" t="inlineStr">
        <is>
          <t>รอตรวจ</t>
        </is>
      </c>
      <c r="N89" s="13" t="inlineStr"/>
      <c r="O89" s="14" t="inlineStr">
        <is>
          <t>Pantip</t>
        </is>
      </c>
      <c r="P89" s="10" t="inlineStr">
        <is>
          <t>S1:energy-balance-cut-bulk</t>
        </is>
      </c>
      <c r="Q89" s="10" t="inlineStr">
        <is>
          <t>ใช่</t>
        </is>
      </c>
      <c r="R89" s="10" t="n">
        <v>7</v>
      </c>
      <c r="S89" s="10" t="n">
        <v>9.1</v>
      </c>
    </row>
    <row r="90" ht="409" customHeight="1">
      <c r="A90" s="10" t="inlineStr">
        <is>
          <t>YT01-r1</t>
        </is>
      </c>
      <c r="B90" s="10" t="n">
        <v>1</v>
      </c>
      <c r="C90" s="10" t="inlineStr">
        <is>
          <t>ถ้าผมกิน ขนมปังกับนม เเค่นี้พอมั้ยครับเเต่ออกกำลังกายตอนเย็นทุกวัน น้ำหนัก50+ เป็นคนผอมครับ เเต่อยากให้มีกล้ามเนื้อครับ</t>
        </is>
      </c>
      <c r="D90" s="10" t="inlineStr">
        <is>
          <t>ขนมปังกับนมอย่างเดียวไม่พอสำหรับเพิ่มกล้าม: ต้องพลังงานเกินเล็กน้อย โปรตีน ~1.6–2.2 g/kg (~80–110 g สำหรับ ~50 kg) จากหลายแหล่ง; ยกตัวอย่างอาหาร</t>
        </is>
      </c>
      <c r="E90" s="10" t="inlineStr">
        <is>
          <t>บอกว่าพอแล้ว</t>
        </is>
      </c>
      <c r="F90" s="10" t="inlineStr">
        <is>
          <t>เป้าหมายที่คำนวณจากข้อมูลที่ใช้ในห้องนี้ครับ
ปรับไขมันขึ้นให้ถึงขั้นต่ำ 20% ของพลังงานรวมตามกติกาเครื่องคำนวณของโครงการ ไม่ใช่เกณฑ์ขั้นต่ำสากลหรือการรับรองผลด้านฮอร์โมน
- เป้าหมายที่ใช้คำนวณ: เพิ่มกล้ามเนื้อ (bulk)
- พลังงานเป้าหมาย: 2777 กิโลแคลอรี/วัน
- โปรตีน: 117 กรัม/วัน
- ไขมัน: 62 กรัม/วัน
- คาร์โบไฮเดรต: 438 กรัม/วัน
### วิธีคำนวณของระบบ
- BMR ใช้สมการ Mifflin-St Jeor: 10 × 65 + 6.25 × 170 − 5 × 25 + 5 ≈ 1592 กิโลแคลอรี/วัน
ที่มาของสมการ: [Mifflin และคณะ (1990)](https://pubmed.ncbi.nlm.nih.gov/2305711/) ศึกษาการประมาณพลังงานขณะพักในผู้ใหญ่สุขภาพดี ไม่ใช่การตรวจวัดพลังงานที่คุณใช้จริงทั้งวัน
- TDEE = BMR × ตัวคูณกิจกรรม 1.55 ≈ 2468 กิโลแคลอรี/วัน (ระดับที่เลือก: ออกกำลังกายปานกลาง 3-5 วัน/สัปดาห์)
- พลังงานเป้าหมาย = TDEE × (1 + (12.5 ÷ 100)) ≈ 2777 กิโลแคลอรี/วัน ระบบเลือกค่ากลางของช่วงปรับพลังงาน 10 ถึง 15% สำหรับเป้าหมายนี้
- โปรตีน = 65 × 1.8 ≈ 117 กรัม/วัน ระบบเลือกค่ากลางของช่วง 1.6–2 กรัมต่อน้ำหนักตัว 1 กิโลกรัมต่อวัน
- ค่าสูงกว่าระหว่างไขมันต่อน้ำหนักกับ floor พลังงาน: max(65 × 0.9, 2776.9219 × 0.20 ÷ 9) ≈ 62 กรัม/วัน — 0.9 กรัม/กก. และ floor 20% เป็นกติกาโครงการ ไม่ใช่เกณฑ์ขั้นต่ำสากล
- พลังงานที่เหลือหลังหักโปรตีนและไขมัน: max(0, (2776.9219 − 4 × 117 − 9 × 61.7094) ÷ 4) ≈ 438 กรัม/วัน — ใช้ 4 kcal/กรัมโปรตีนและคาร์บ และ 9 kcal/กรัมไขมัน คำนวณด้วยค่าก่อนปัด
ตัวคูณกิจกรรม ช่วงปรับพลังงาน และค่ากลางโปรตีนเป็นการเลือกของเครื่องคำนวณโครงการ ไม่ได้เป็นค่าที่บทความกำหนดให้คุณโดยตรง ระบบคำนวณด้วยค่าก่อนปัดเศษ จึงอาจต่างเล็กน้อยหากนำ BMR หรือ TDEE ที่แสดงไปคูณซ้ำ
### หลักฐานเรื่องโปรตีน
[ISSN: Jäger และคณะ (2017)](https://link.springer.com/article/10.1186/s12970-017-0177-8) เสนอช่วงโปรตีนรวม 1.4–2.0 กรัมต่อน้ำหนักตัว 1 กิโลกรัมต่อวัน สำหรับผู้ใหญ่สุขภาพดีที่ออกกำลังกายส่วนใหญ่ ช่วงนี้เป็นหลักฐานทั่วไป ไม่ได้กำหนดค่ากลางที่ระบบเลือก และไม่ได้รับรองว่าช่วงโปรตีนของโครงการทุกเป้าหมายเหมาะกับทุกคน
ตัวเลขทั้งหมดเป็นค่าประมาณจากข้อมูลที่กรอก ไม่ใช่คำแนะนำทางการแพทย์หรือการรับรองผลรายบุคคล</t>
        </is>
      </c>
      <c r="G90" s="11" t="inlineStr">
        <is>
          <t>ไม่ผ่าน</t>
        </is>
      </c>
      <c r="H90" s="10" t="inlineStr">
        <is>
          <t>ขาดประเด็นสำคัญ</t>
        </is>
      </c>
      <c r="I90" s="10" t="inlineStr">
        <is>
          <t>ไปเส้นทางอธิบายเป้าหมาย แสดงเป้าหมายเพิ่มกล้าม (2777 kcal, โปรตีน 117 g) พร้อมสูตร แต่ไม่ได้ตอบว่าขนมปังกับนมอย่างเดียวไม่พอ และไม่ยกตัวอย่างอาหาร</t>
        </is>
      </c>
      <c r="J90" s="17" t="inlineStr">
        <is>
          <t>ไม่ผ่าน</t>
        </is>
      </c>
      <c r="K90" s="10" t="inlineStr">
        <is>
          <t>ตัวตรวจปัดตกทั้งคำตอบ</t>
        </is>
      </c>
      <c r="L90" s="13" t="inlineStr">
        <is>
          <t>รอตรวจ</t>
        </is>
      </c>
      <c r="M90" s="13" t="inlineStr">
        <is>
          <t>รอตรวจ</t>
        </is>
      </c>
      <c r="N90" s="13" t="inlineStr"/>
      <c r="O90" s="14" t="inlineStr">
        <is>
          <t>YouTube comment</t>
        </is>
      </c>
      <c r="P90" s="10" t="inlineStr"/>
      <c r="Q90" s="10" t="inlineStr">
        <is>
          <t>ใช่</t>
        </is>
      </c>
      <c r="R90" s="10" t="n">
        <v>1</v>
      </c>
      <c r="S90" s="10" t="n">
        <v>6.8</v>
      </c>
    </row>
    <row r="91" ht="409" customHeight="1">
      <c r="A91" s="10" t="inlineStr">
        <is>
          <t>YT01-r2</t>
        </is>
      </c>
      <c r="B91" s="10" t="n">
        <v>2</v>
      </c>
      <c r="C91" s="10" t="inlineStr">
        <is>
          <t>ถ้าผมกิน ขนมปังกับนม เเค่นี้พอมั้ยครับเเต่ออกกำลังกายตอนเย็นทุกวัน น้ำหนัก50+ เป็นคนผอมครับ เเต่อยากให้มีกล้ามเนื้อครับ</t>
        </is>
      </c>
      <c r="D91" s="10" t="inlineStr">
        <is>
          <t>ขนมปังกับนมอย่างเดียวไม่พอสำหรับเพิ่มกล้าม: ต้องพลังงานเกินเล็กน้อย โปรตีน ~1.6–2.2 g/kg (~80–110 g สำหรับ ~50 kg) จากหลายแหล่ง; ยกตัวอย่างอาหาร</t>
        </is>
      </c>
      <c r="E91" s="10" t="inlineStr">
        <is>
          <t>บอกว่าพอแล้ว</t>
        </is>
      </c>
      <c r="F91" s="10" t="inlineStr">
        <is>
          <t>เป้าหมายที่คำนวณจากข้อมูลที่ใช้ในห้องนี้ครับ
ปรับไขมันขึ้นให้ถึงขั้นต่ำ 20% ของพลังงานรวมตามกติกาเครื่องคำนวณของโครงการ ไม่ใช่เกณฑ์ขั้นต่ำสากลหรือการรับรองผลด้านฮอร์โมน
- เป้าหมายที่ใช้คำนวณ: เพิ่มกล้ามเนื้อ (bulk)
- พลังงานเป้าหมาย: 2777 กิโลแคลอรี/วัน
- โปรตีน: 117 กรัม/วัน
- ไขมัน: 62 กรัม/วัน
- คาร์โบไฮเดรต: 438 กรัม/วัน
### วิธีคำนวณของระบบ
- BMR ใช้สมการ Mifflin-St Jeor: 10 × 65 + 6.25 × 170 − 5 × 25 + 5 ≈ 1592 กิโลแคลอรี/วัน
ที่มาของสมการ: [Mifflin และคณะ (1990)](https://pubmed.ncbi.nlm.nih.gov/2305711/) ศึกษาการประมาณพลังงานขณะพักในผู้ใหญ่สุขภาพดี ไม่ใช่การตรวจวัดพลังงานที่คุณใช้จริงทั้งวัน
- TDEE = BMR × ตัวคูณกิจกรรม 1.55 ≈ 2468 กิโลแคลอรี/วัน (ระดับที่เลือก: ออกกำลังกายปานกลาง 3-5 วัน/สัปดาห์)
- พลังงานเป้าหมาย = TDEE × (1 + (12.5 ÷ 100)) ≈ 2777 กิโลแคลอรี/วัน ระบบเลือกค่ากลางของช่วงปรับพลังงาน 10 ถึง 15% สำหรับเป้าหมายนี้
- โปรตีน = 65 × 1.8 ≈ 117 กรัม/วัน ระบบเลือกค่ากลางของช่วง 1.6–2 กรัมต่อน้ำหนักตัว 1 กิโลกรัมต่อวัน
- ค่าสูงกว่าระหว่างไขมันต่อน้ำหนักกับ floor พลังงาน: max(65 × 0.9, 2776.9219 × 0.20 ÷ 9) ≈ 62 กรัม/วัน — 0.9 กรัม/กก. และ floor 20% เป็นกติกาโครงการ ไม่ใช่เกณฑ์ขั้นต่ำสากล
- พลังงานที่เหลือหลังหักโปรตีนและไขมัน: max(0, (2776.9219 − 4 × 117 − 9 × 61.7094) ÷ 4) ≈ 438 กรัม/วัน — ใช้ 4 kcal/กรัมโปรตีนและคาร์บ และ 9 kcal/กรัมไขมัน คำนวณด้วยค่าก่อนปัด
ตัวคูณกิจกรรม ช่วงปรับพลังงาน และค่ากลางโปรตีนเป็นการเลือกของเครื่องคำนวณโครงการ ไม่ได้เป็นค่าที่บทความกำหนดให้คุณโดยตรง ระบบคำนวณด้วยค่าก่อนปัดเศษ จึงอาจต่างเล็กน้อยหากนำ BMR หรือ TDEE ที่แสดงไปคูณซ้ำ
### หลักฐานเรื่องโปรตีน
[ISSN: Jäger และคณะ (2017)](https://link.springer.com/article/10.1186/s12970-017-0177-8) เสนอช่วงโปรตีนรวม 1.4–2.0 กรัมต่อน้ำหนักตัว 1 กิโลกรัมต่อวัน สำหรับผู้ใหญ่สุขภาพดีที่ออกกำลังกายส่วนใหญ่ ช่วงนี้เป็นหลักฐานทั่วไป ไม่ได้กำหนดค่ากลางที่ระบบเลือก และไม่ได้รับรองว่าช่วงโปรตีนของโครงการทุกเป้าหมายเหมาะกับทุกคน
ตัวเลขทั้งหมดเป็นค่าประมาณจากข้อมูลที่กรอก ไม่ใช่คำแนะนำทางการแพทย์หรือการรับรองผลรายบุคคล</t>
        </is>
      </c>
      <c r="G91" s="11" t="inlineStr">
        <is>
          <t>ไม่ผ่าน</t>
        </is>
      </c>
      <c r="H91" s="10" t="inlineStr">
        <is>
          <t>ขาดประเด็นสำคัญ</t>
        </is>
      </c>
      <c r="I91" s="10" t="inlineStr">
        <is>
          <t>ไปเส้นทางอธิบายเป้าหมาย แสดงเป้าเพิ่มกล้ามพร้อมสูตร แต่ไม่ได้ตอบว่าขนมปังกับนมอย่างเดียวไม่พอ และไม่ยกตัวอย่างอาหาร</t>
        </is>
      </c>
      <c r="J91" s="17" t="inlineStr">
        <is>
          <t>ไม่ผ่าน</t>
        </is>
      </c>
      <c r="K91" s="10" t="inlineStr">
        <is>
          <t>ตัวตรวจปัดตกทั้งคำตอบ</t>
        </is>
      </c>
      <c r="L91" s="13" t="inlineStr">
        <is>
          <t>รอตรวจ</t>
        </is>
      </c>
      <c r="M91" s="13" t="inlineStr">
        <is>
          <t>รอตรวจ</t>
        </is>
      </c>
      <c r="N91" s="13" t="inlineStr"/>
      <c r="O91" s="14" t="inlineStr">
        <is>
          <t>YouTube comment</t>
        </is>
      </c>
      <c r="P91" s="10" t="inlineStr"/>
      <c r="Q91" s="10" t="inlineStr">
        <is>
          <t>ใช่</t>
        </is>
      </c>
      <c r="R91" s="10" t="n">
        <v>1</v>
      </c>
      <c r="S91" s="10" t="n">
        <v>1.6</v>
      </c>
    </row>
    <row r="92" ht="344" customHeight="1">
      <c r="A92" s="10" t="inlineStr">
        <is>
          <t>YT01-r3</t>
        </is>
      </c>
      <c r="B92" s="10" t="n">
        <v>3</v>
      </c>
      <c r="C92" s="10" t="inlineStr">
        <is>
          <t>ถ้าผมกิน ขนมปังกับนม เเค่นี้พอมั้ยครับเเต่ออกกำลังกายตอนเย็นทุกวัน น้ำหนัก50+ เป็นคนผอมครับ เเต่อยากให้มีกล้ามเนื้อครับ</t>
        </is>
      </c>
      <c r="D92" s="10" t="inlineStr">
        <is>
          <t>ขนมปังกับนมอย่างเดียวไม่พอสำหรับเพิ่มกล้าม: ต้องพลังงานเกินเล็กน้อย โปรตีน ~1.6–2.2 g/kg (~80–110 g สำหรับ ~50 kg) จากหลายแหล่ง; ยกตัวอย่างอาหาร</t>
        </is>
      </c>
      <c r="E92" s="10" t="inlineStr">
        <is>
          <t>บอกว่าพอแล้ว</t>
        </is>
      </c>
      <c r="F92" s="10" t="inlineStr">
        <is>
          <t>สำหรับเป้าหมายการเพิ่มกล้ามเนื้อของคุณ พลังงานและสารอาหารที่เหมาะสมต่อวันมีดังนี้ครับ:
- **พลังงานเป้าหมาย:** 2,777 กิโลแคลอรีต่อวัน
- **โปรตีน:** 117 กรัมต่อวัน
- **คาร์โบไฮเดรต:** 438 กรัมต่อวัน
- **ไขมัน:** 62 กรัมต่อวัน
*คำเตือนจากระบบคำนวณ:* การกำหนดสัดส่วนไขมันนี้เป็นไปตามกติกาของโครงการ ไม่ใช่เกณฑ์ขั้นต่ำสากลหรือการรับรองผลด้านฮอร์โมน
เพื่อให้ได้รับสารอาหารเพียงพอต่อการฝึก แนะนำให้คุณเลือกรับประทานอาหารให้หลากหลายครอบคลุมทั้งโปรตีน คาร์โบไฮเดรต และไขมันในปริมาณที่สอดคล้องกับพลังงานเป้าหมายต่อวัน [S3, S5]
ตัดข้อความบางส่วนที่ยังยืนยันกับแหล่งข้อมูลไม่ได้ออกจากคำตอบนี้แล้วครับ
### สูตรที่ใช้กับเป้าหมายนี้
- [Mifflin-St Jeor](https://pubmed.ncbi.nlm.nih.gov/2305711/): 10 × 65 + 6.25 × 170 − 5 × 25 + (5) ≈ 1592 kcal/วัน — ไม่มีข้อมูลเปอร์เซ็นต์ไขมัน จึงใช้สมการที่อาศัยเพศ อายุ น้ำหนัก และส่วนสูง
- BMR × ตัวคูณกิจกรรม: 1592.5 × 1.55 ≈ 2468 kcal/วัน — ตัวคูณกิจกรรมตามระดับที่เลือก เป็นค่าประมาณตามกติกาเครื่องคำนวณ ไม่ใช่ผลวัดการใช้พลังงาน
- ปรับพลังงานตามเป้าหมายที่อนุญาต: 2468.375 × (1 + 0.125) ≈ 2777 kcal/วัน — กติกาโครงการ: ใช้ค่ากลางช่วงปรับพลังงาน และใช้เป้าหมายที่ผ่านการคัดกรองแล้ว
- [น้ำหนักตัว × โปรตีนต่อกิโลกรัม](https://doi.org/10.1186/s12970-017-0177-8): 65 × 1.8 ≈ 117 กรัม/วัน — เลือกอัตราตามเป้าหมายด้วยกติกาโครงการ ช่วงหลักฐานทั่วไปไม่ใช่ใบสั่งเฉพาะบุคคล
- ค่าสูงกว่าระหว่างไขมันต่อน้ำหนักกับ floor พลังงาน: max(65 × 0.9, 2776.9219 × 0.20 ÷ 9) ≈ 62 กรัม/วัน — 0.9 กรัม/กก. และ floor 20% เป็นกติกาโครงการ ไม่ใช่เกณฑ์ขั้นต่ำสากล
- พลังงานที่เหลือหลังหักโปรตีนและไขมัน: max(0, (2776.9219 − 4 × 117 − 9 × 61.7094) ÷ 4) ≈ 438 กรัม/วัน — ใช้ 4 kcal/กรัมโปรตีนและคาร์บ และ 9 kcal/กรัมไขมัน คำนวณด้วยค่าก่อนปัด
ใช้ค่าก่อนปัดในการคำนวณ และปัดเฉพาะตัวเลขที่แสดง ผลเป็นค่าประมาณ ไม่ใช่แผนรักษาโรค</t>
        </is>
      </c>
      <c r="G92" s="11" t="inlineStr">
        <is>
          <t>ไม่ผ่าน</t>
        </is>
      </c>
      <c r="H92" s="10" t="inlineStr">
        <is>
          <t>ขาดประเด็นสำคัญ</t>
        </is>
      </c>
      <c r="I92" s="10" t="inlineStr">
        <is>
          <t>แสดงเป้าเพิ่มกล้ามและแนะนำให้กินหลากหลาย (ถูกตัดบางประโยคด้วย #42) แต่ไม่ได้ตอบว่าขนมปังกับนมอย่างเดียวไม่พอ และไม่ยกตัวอย่างอาหาร</t>
        </is>
      </c>
      <c r="J92" s="17" t="inlineStr">
        <is>
          <t>ไม่ผ่าน</t>
        </is>
      </c>
      <c r="K92" s="10" t="inlineStr">
        <is>
          <t>ขาดประเด็นสำคัญ</t>
        </is>
      </c>
      <c r="L92" s="13" t="inlineStr">
        <is>
          <t>รอตรวจ</t>
        </is>
      </c>
      <c r="M92" s="13" t="inlineStr">
        <is>
          <t>รอตรวจ</t>
        </is>
      </c>
      <c r="N92" s="13" t="inlineStr"/>
      <c r="O92" s="14" t="inlineStr">
        <is>
          <t>YouTube comment</t>
        </is>
      </c>
      <c r="P92" s="10" t="inlineStr">
        <is>
          <t>S3:energy-balance-cut-bulk; S5:protein-requirement</t>
        </is>
      </c>
      <c r="Q92" s="10" t="inlineStr">
        <is>
          <t>ใช่</t>
        </is>
      </c>
      <c r="R92" s="10" t="n">
        <v>10</v>
      </c>
      <c r="S92" s="10" t="n">
        <v>22.5</v>
      </c>
    </row>
    <row r="93" ht="149" customHeight="1">
      <c r="A93" s="10" t="inlineStr">
        <is>
          <t>YT02-r1</t>
        </is>
      </c>
      <c r="B93" s="10" t="n">
        <v>1</v>
      </c>
      <c r="C93" s="10" t="inlineStr">
        <is>
          <t>ออกกำลังกายวันเว้นวัน วันไหนไม่ได้ออกกำลังกาย ก็ต้องกินโปรตีนให้ได้ 60กรัมต่อวันเกมือนเดิมใช้ไหมคะ?</t>
        </is>
      </c>
      <c r="D93" s="10" t="inlineStr">
        <is>
          <t>ใช่ ควรได้โปรตีนรวมใกล้เคียงกันทุกวันรวมวันพัก (ตัวเลข 60 g ขึ้นกับน้ำหนัก—อาจเพิ่มคำแนะนำ g/kg)</t>
        </is>
      </c>
      <c r="E93" s="10" t="inlineStr">
        <is>
          <t>บอกว่าวันพักไม่ต้องกิน</t>
        </is>
      </c>
      <c r="F93" s="10" t="inlineStr">
        <is>
          <t>คุณควรได้รับโปรตีนสม่ำเสมอทุกวันตลอดสัปดาห์ ไม่จำเป็นต้องลดลงเหลือ 60 กรัมในวันที่ไม่ได้ออกกำลังกายครับ 
เป้าหมายโปรตีนที่เหมาะสมสำหรับคุณคือ 117 กรัมต่อวัน ซึ่งคำนวณจากน้ำหนักตัว 65 กิโลกรัม เพื่อสนับสนุนการรักษาน้ำหนักและการฟื้นฟูกล้ามเนื้อจากการฝึกเวทเทรนนิ่ง 3 วันต่อสัปดาห์ โดยสมาคมโภชนาการการกีฬานานาชาติ (ISSN) แนะนำปริมาณโปรตีนรวมสำหรับผู้ฝึกแรงต้านอยู่ที่ 1.4-2.0 กรัมต่อน้ำหนักตัว 1 กิโลกรัมต่อวัน  การรักษายอดโปรตีนให้ถึงเป้าหมายนี้ทั้งในวันที่มีและไม่มีการฝึกจะช่วยสนับสนุนการรักษามวลกล้ามเนื้อได้อย่างมีประสิทธิภาพครับ [S1]
### สูตรที่ใช้กับเป้าหมายนี้
- [น้ำหนักตัว × โปรตีนต่อกิโลกรัม](https://doi.org/10.1186/s12970-017-0177-8): 65 × 1.8 ≈ 117 กรัม/วัน — เลือกอัตราตามเป้าหมายด้วยกติกาโครงการ ช่วงหลักฐานทั่วไปไม่ใช่ใบสั่งเฉพาะบุคคล
ใช้ค่าก่อนปัดในการคำนวณ และปัดเฉพาะตัวเลขที่แสดง ผลเป็นค่าประมาณ ไม่ใช่แผนรักษาโรค</t>
        </is>
      </c>
      <c r="G93" s="15" t="inlineStr">
        <is>
          <t>ผ่าน</t>
        </is>
      </c>
      <c r="H93" s="10" t="inlineStr"/>
      <c r="I93" s="10" t="inlineStr">
        <is>
          <t>ตอบว่าควรได้โปรตีนสม่ำเสมอทุกวันรวมวันพัก และเทียบกับเป้า 117 g จากโปรไฟล์ตัวอย่างตามช่วง 1.4-2.0 g/kg</t>
        </is>
      </c>
      <c r="J93" s="12" t="inlineStr">
        <is>
          <t>ผ่าน</t>
        </is>
      </c>
      <c r="K93" s="10" t="inlineStr"/>
      <c r="L93" s="13" t="inlineStr">
        <is>
          <t>รอตรวจ</t>
        </is>
      </c>
      <c r="M93" s="13" t="inlineStr">
        <is>
          <t>รอตรวจ</t>
        </is>
      </c>
      <c r="N93" s="13" t="inlineStr"/>
      <c r="O93" s="14" t="inlineStr">
        <is>
          <t>YouTube comment</t>
        </is>
      </c>
      <c r="P93" s="10" t="inlineStr">
        <is>
          <t>S1:protein-requirement</t>
        </is>
      </c>
      <c r="Q93" s="10" t="inlineStr">
        <is>
          <t>ไม่</t>
        </is>
      </c>
      <c r="R93" s="10" t="n">
        <v>4</v>
      </c>
      <c r="S93" s="10" t="n">
        <v>17.1</v>
      </c>
    </row>
    <row r="94" ht="201" customHeight="1">
      <c r="A94" s="10" t="inlineStr">
        <is>
          <t>YT03-r1</t>
        </is>
      </c>
      <c r="B94" s="10" t="n">
        <v>1</v>
      </c>
      <c r="C94" s="10" t="inlineStr">
        <is>
          <t>ผมขอถามหน่อยครับ ผมมีน้ำหนัก 67สูง180แล้วผมต้องกินโปรตีนประมาณเท่าไหร่ครับใน1วัน</t>
        </is>
      </c>
      <c r="D94" s="10" t="inlineStr">
        <is>
          <t>ถ้าเล่นเวท ~1.6–2.2 g/kg × 67 ≈ 107–147 g/วัน (หรือ ~1.6 g/kg ≈ 107 g); ถ้าไม่ได้ออกกำลังกาย ~0.8–1.0 g/kg ≈ 54–67 g; ระบุสมมติฐานเพราะผู้ถามไม่ได้บอกการฝึก</t>
        </is>
      </c>
      <c r="E94" s="10" t="inlineStr">
        <is>
          <t>คำนวณผิด/ใช้ส่วนสูงคูณ</t>
        </is>
      </c>
      <c r="F94" s="10" t="inlineStr">
        <is>
          <t>สำหรับคุณที่มีน้ำหนัก 67 กิโลกรัมและตั้งเป้าหมายรักษาน้ำหนัก คุณควรได้รับโปรตีนประมาณ 121 กรัมต่อวัน (คำนวณจากอัตรา 1.8 กรัมต่อน้ำหนักตัว 1 กิโลกรัม) ซึ่งเป็นเป้าหมายโปรตีนประจำวันของคุณจากโปรไฟล์ครับ 
ข้อแนะนำเพิ่มเติมเกี่ยวกับการกินโปรตีนมีดังนี้ครับ:
- สมาคมโภชนาการการกีฬานานาชาติ (ISSN) ปี 2017 แนะนำช่วงโปรตีนรวมสำหรับคนสุขภาพดีที่ออกกำลังกายไว้ที่ 1.4-2.0 กรัม/กก./วัน เพื่อช่วยสนับสนุนการเพิ่มหรือรักษามวลกล้ามเนื้อร่วมกับการฝึกแรงต้าน [S3]
- การกระจายมื้ออาหาร สามารถเลือกกินโปรตีนคุณภาพดีประมาณ 20-40 กรัม หรือ 0.25-0.40 กรัมต่อน้ำหนักตัว 1 กิโลกรัมต่อมื้อ โดยเว้นระยะห่างประมาณ 3-4 ชั่วโมงตามความสะดวก [S1] 
- ควรเน้นดูปริมาณโปรตีนรวมตลอดทั้งวันให้ครบถ้วนควบคู่ไปกับการกระจายในแต่ละมื้อ [S5] และเลือกแหล่งอาหารหรือโปรตีนเสริมตามความสะดวกและคุณภาพกรดอะมิโน [S2]
### สูตรที่ใช้กับเป้าหมายนี้
- [น้ำหนักตัว × โปรตีนต่อกิโลกรัม](https://doi.org/10.1186/s12970-017-0177-8): 67 × 1.8 ≈ 121 กรัม/วัน — เลือกอัตราตามเป้าหมายด้วยกติกาโครงการ ช่วงหลักฐานทั่วไปไม่ใช่ใบสั่งเฉพาะบุคคล
ใช้ค่าก่อนปัดในการคำนวณ และปัดเฉพาะตัวเลขที่แสดง ผลเป็นค่าประมาณ ไม่ใช่แผนรักษาโรค</t>
        </is>
      </c>
      <c r="G94" s="15" t="inlineStr">
        <is>
          <t>ผ่าน</t>
        </is>
      </c>
      <c r="H94" s="10" t="inlineStr"/>
      <c r="I94" s="10" t="inlineStr">
        <is>
          <t>ใช้น้ำหนัก 67 kg ที่ผู้ถามบอก × 1.8 ≈ 121 g/วัน พร้อมช่วง ISSN 1.4-2.0 g/kg และการกระจายมื้อ ไม่ใช้ส่วนสูงคูณ คำนวณถูก</t>
        </is>
      </c>
      <c r="J94" s="12" t="inlineStr">
        <is>
          <t>ผ่าน</t>
        </is>
      </c>
      <c r="K94" s="10" t="inlineStr"/>
      <c r="L94" s="13" t="inlineStr">
        <is>
          <t>รอตรวจ</t>
        </is>
      </c>
      <c r="M94" s="13" t="inlineStr">
        <is>
          <t>รอตรวจ</t>
        </is>
      </c>
      <c r="N94" s="13" t="inlineStr"/>
      <c r="O94" s="14" t="inlineStr">
        <is>
          <t>YouTube comment</t>
        </is>
      </c>
      <c r="P94" s="10" t="inlineStr">
        <is>
          <t>S1:nutrient-timing; S2:protein-requirement; S3:protein-requirement; S5:protein-requirement</t>
        </is>
      </c>
      <c r="Q94" s="10" t="inlineStr">
        <is>
          <t>ไม่</t>
        </is>
      </c>
      <c r="R94" s="10" t="n">
        <v>4</v>
      </c>
      <c r="S94" s="10" t="n">
        <v>17.1</v>
      </c>
    </row>
    <row r="95" ht="409" customHeight="1">
      <c r="A95" s="10" t="inlineStr">
        <is>
          <t>YT04-r1</t>
        </is>
      </c>
      <c r="B95" s="10" t="n">
        <v>1</v>
      </c>
      <c r="C95" s="10" t="inlineStr">
        <is>
          <t>ผมสับสนมากเลยครับ ขอคำแนะนำสัดส่วนสารอาหารที่ควรได้รับต่อวัน เมื่อต้องการเพิ่มกล้ามเนื้อหน่อยครับ ผมสูง171 หนัก53 ต้องกินยังไงดีครับ
โปรตีน = ×2น้ำหนักตัว
คาร์โบบ้างก็ว่า40-50%ของพลังงานที่รับต่อวัน
ไขมัน = ไม่แน่ใจ แต่ผมตั้งกับตัวเองไว้แค่10% 
มันไม่ครบ100% ของพลังงานที่ได้รับต่อวันอ่ะครับ ควรเพิ่มคาร์โบไฮเดรตหรือไขมันเข้าไปดี</t>
        </is>
      </c>
      <c r="D95" s="10" t="inlineStr">
        <is>
          <t>ตอบประเด็น: ไขมัน 10% ต่ำเกินไป ควร ~20–35% ของพลังงาน; ส่วนที่เหลือเติมด้วยคาร์บ; โปรตีน ~2 g/kg ≈ 106 g; พลังงานต้องเกิน TDEE เล็กน้อย (ถามอายุ/กิจกรรมหรือประมาณ)</t>
        </is>
      </c>
      <c r="E95" s="10" t="inlineStr">
        <is>
          <t>สนับสนุนไขมัน 10%/คำนวณผิด</t>
        </is>
      </c>
      <c r="F95" s="10" t="inlineStr">
        <is>
          <t>เป้าหมายที่คำนวณจากข้อมูลที่ใช้ในห้องนี้ครับ
ใช้เป้าหมายหรือข้อจำกัดอาหารที่คุณแจ้งในห้องแชตนี้เป็นการชั่วคราว ไม่ได้เปลี่ยนโปรไฟล์ที่บันทึกไว้
ใช้น้ำหนัก 53 กก. และส่วนสูง 171 ซม.ที่คุณแจ้งล่าสุดเฉพาะห้องสนทนานี้ ไม่ได้แก้โปรไฟล์ที่บันทึกไว้
ปรับไขมันขึ้นให้ถึงขั้นต่ำ 20% ของพลังงานรวมตามกติกาเครื่องคำนวณของโครงการ ไม่ใช่เกณฑ์ขั้นต่ำสากลหรือการรับรองผลด้านฮอร์โมน
- เป้าหมายที่ใช้คำนวณ: เพิ่มกล้ามเนื้อ (bulk)
- พลังงานเป้าหมาย: 2579 กิโลแคลอรี/วัน
- โปรตีน: 95 กรัม/วัน
- ไขมัน: 57 กรัม/วัน
- คาร์โบไฮเดรต: 420 กรัม/วัน
### วิธีคำนวณของระบบ
- BMR ใช้สมการ Mifflin-St Jeor: 10 × 53 + 6.25 × 171 − 5 × 25 + 5 ≈ 1479 กิโลแคลอรี/วัน
ที่มาของสมการ: [Mifflin และคณะ (1990)](https://pubmed.ncbi.nlm.nih.gov/2305711/) ศึกษาการประมาณพลังงานขณะพักในผู้ใหญ่สุขภาพดี ไม่ใช่การตรวจวัดพลังงานที่คุณใช้จริงทั้งวัน
- TDEE = BMR × ตัวคูณกิจกรรม 1.55 ≈ 2292 กิโลแคลอรี/วัน (ระดับที่เลือก: ออกกำลังกายปานกลาง 3-5 วัน/สัปดาห์)
- พลังงานเป้าหมาย = TDEE × (1 + (12.5 ÷ 100)) ≈ 2579 กิโลแคลอรี/วัน ระบบเลือกค่ากลางของช่วงปรับพลังงาน 10 ถึง 15% สำหรับเป้าหมายนี้
- โปรตีน = 53 × 1.8 ≈ 95 กรัม/วัน ระบบเลือกค่ากลางของช่วง 1.6–2 กรัมต่อน้ำหนักตัว 1 กิโลกรัมต่อวัน
- ค่าสูงกว่าระหว่างไขมันต่อน้ำหนักกับ floor พลังงาน: max(53 × 0.9, 2578.5703 × 0.20 ÷ 9) ≈ 57 กรัม/วัน — 0.9 กรัม/กก. และ floor 20% เป็นกติกาโครงการ ไม่ใช่เกณฑ์ขั้นต่ำสากล
- พลังงานที่เหลือหลังหักโปรตีนและไขมัน: max(0, (2578.5703 − 4 × 95.4 − 9 × 57.3016) ÷ 4) ≈ 420 กรัม/วัน — ใช้ 4 kcal/กรัมโปรตีนและคาร์บ และ 9 kcal/กรัมไขมัน คำนวณด้วยค่าก่อนปัด
ตัวคูณกิจกรรม ช่วงปรับพลังงาน และค่ากลางโปรตีนเป็นการเลือกของเครื่องคำนวณโครงการ ไม่ได้เป็นค่าที่บทความกำหนดให้คุณโดยตรง ระบบคำนวณด้วยค่าก่อนปัดเศษ จึงอาจต่างเล็กน้อยหากนำ BMR หรือ TDEE ที่แสดงไปคูณซ้ำ
### หลักฐานเรื่องโปรตีน
[ISSN: Jäger และคณะ (2017)](https://link.springer.com/article/10.1186/s12970-017-0177-8) เสนอช่วงโปรตีนรวม 1.4–2.0 กรัมต่อน้ำหนักตัว 1 กิโลกรัมต่อวัน สำหรับผู้ใหญ่สุขภาพดีที่ออกกำลังกายส่วนใหญ่ ช่วงนี้เป็นหลักฐานทั่วไป ไม่ได้กำหนดค่ากลางที่ระบบเลือก และไม่ได้รับรองว่าช่วงโปรตีนของโครงการทุกเป้าหมายเหมาะกับทุกคน
ตัวเลขทั้งหมดเป็นค่าประมาณจากข้อมูลที่กรอก ไม่ใช่คำแนะนำทางการแพทย์หรือการรับรองผลรายบุคคล</t>
        </is>
      </c>
      <c r="G95" s="15" t="inlineStr">
        <is>
          <t>ผ่าน</t>
        </is>
      </c>
      <c r="H95" s="10" t="inlineStr"/>
      <c r="I95" s="10" t="inlineStr">
        <is>
          <t>คำนวณจาก 53 kg 171 cm ที่ผู้ถามบอก: พลังงานเกิน TDEE 12.5% โปรตีน 95 g ไขมันขั้นต่ำ 20% (57 g) คาร์บจากพลังงานที่เหลือ 420 g จึงตอบว่าให้เติมคาร์บ ข้อสังเกต: ไม่ได้บอกตรง ๆ ว่าไขมัน 10% ต่ำเกินไป แต่ปรับขึ้นเป็น 20%</t>
        </is>
      </c>
      <c r="J95" s="17" t="inlineStr">
        <is>
          <t>ไม่ผ่าน</t>
        </is>
      </c>
      <c r="K95" s="10" t="inlineStr">
        <is>
          <t>ขาดประเด็นสำคัญ</t>
        </is>
      </c>
      <c r="L95" s="13" t="inlineStr">
        <is>
          <t>รอตรวจ</t>
        </is>
      </c>
      <c r="M95" s="13" t="inlineStr">
        <is>
          <t>รอตรวจ</t>
        </is>
      </c>
      <c r="N95" s="13" t="inlineStr"/>
      <c r="O95" s="14" t="inlineStr">
        <is>
          <t>YouTube comment</t>
        </is>
      </c>
      <c r="P95" s="10" t="inlineStr"/>
      <c r="Q95" s="10" t="inlineStr">
        <is>
          <t>ไม่</t>
        </is>
      </c>
      <c r="R95" s="10" t="n">
        <v>1</v>
      </c>
      <c r="S95" s="10" t="n">
        <v>1.6</v>
      </c>
    </row>
    <row r="96" ht="110" customHeight="1">
      <c r="A96" s="10" t="inlineStr">
        <is>
          <t>YT05-r1</t>
        </is>
      </c>
      <c r="B96" s="10" t="n">
        <v>1</v>
      </c>
      <c r="C96" s="10" t="inlineStr">
        <is>
          <t>ถ้าอยู่ในช่วงเพิ่มกล้ามเนื้อแล้วกินโปรตีนถึง ไขมันถึง แคลอรี่ถึง แต่คาร์โบไฮเดรตไม่ถึง จะมีผลกับการเพิ่มกล้ามเนื้อมั้ยครับ</t>
        </is>
      </c>
      <c r="D96" s="10" t="inlineStr">
        <is>
          <t>ถ้าพลังงานและโปรตีนพอ ยังเพิ่มกล้ามได้; คาร์บช่วยสมรรถนะ/ไกลโคเจนในการฝึก ผลต่อกล้ามโดยตรงไม่มาก; ปรับสัดส่วนได้</t>
        </is>
      </c>
      <c r="E96" s="10" t="inlineStr">
        <is>
          <t>บอกว่าเพิ่มกล้ามไม่ได้เลย</t>
        </is>
      </c>
      <c r="F96" s="10" t="inlineStr">
        <is>
          <t>แม้ว่าพลังงานและโปรตีนจะเพียงพอ แต่การที่คาร์โบไฮเดรตไม่ถึงอาจไม่สอดคล้องกับแนวทางการจัดสารอาหารในช่วงเพิ่มกล้ามเนื้อที่แนะนำให้มีคาร์โบไฮเดรตในปริมาณที่เหมาะสมกับการฝึก [S2]
สำหรับแนวทางการจัดสัดส่วนสารอาหารในช่วงเพิ่มกล้ามเนื้อนอกฤดูแข่งตามข้อเสนอของ Iraki และคณะ (2019) ได้กำหนดโปรตีนไว้ที่ 1.6-2.2 กรัม/กก./วัน ไขมัน 0.5-1.5 กรัม/กก./วัน และจัดพลังงานที่เหลือเป็นคาร์โบไฮเดรต โดยแนะนำให้มีคาร์โบไฮเดรตอย่างน้อยประมาณ 3-5 กรัม/กก./วัน เพื่อให้สอดคล้องกับพลังงานและการฝึกซ้อม [S2] ทั้งนี้ ช่วงดังกล่าวเป็นแนวทางสำหรับผู้เพาะกายและต้องพิจารณาความเหมาะสมเป็นรายบุคคล [S2]
ตัดข้อความบางส่วนที่ยังยืนยันกับแหล่งข้อมูลไม่ได้ออกจากคำตอบนี้แล้วครับ</t>
        </is>
      </c>
      <c r="G96" s="11" t="inlineStr">
        <is>
          <t>ไม่ผ่าน</t>
        </is>
      </c>
      <c r="H96" s="10" t="inlineStr">
        <is>
          <t>ขาดประเด็นสำคัญ</t>
        </is>
      </c>
      <c r="I96" s="10" t="inlineStr">
        <is>
          <t>ไม่ตอบตรง ๆ ว่ายังเพิ่มกล้ามได้หรือไม่เมื่อพลังงานและโปรตีนพอ บอกเพียงว่าไม่สอดคล้องกับแนวทางและให้ช่วงคาร์บ 3-5 g/kg (ถูกตัดบางประโยคด้วย #42)</t>
        </is>
      </c>
      <c r="J96" s="17" t="inlineStr">
        <is>
          <t>ไม่ผ่าน</t>
        </is>
      </c>
      <c r="K96" s="10" t="inlineStr">
        <is>
          <t>ไม่ได้ตอบคำถาม</t>
        </is>
      </c>
      <c r="L96" s="13" t="inlineStr">
        <is>
          <t>รอตรวจ</t>
        </is>
      </c>
      <c r="M96" s="13" t="inlineStr">
        <is>
          <t>รอตรวจ</t>
        </is>
      </c>
      <c r="N96" s="13" t="inlineStr"/>
      <c r="O96" s="14" t="inlineStr">
        <is>
          <t>YouTube comment</t>
        </is>
      </c>
      <c r="P96" s="10" t="inlineStr">
        <is>
          <t>S2:energy-balance-cut-bulk</t>
        </is>
      </c>
      <c r="Q96" s="10" t="inlineStr">
        <is>
          <t>ไม่</t>
        </is>
      </c>
      <c r="R96" s="10" t="n">
        <v>9</v>
      </c>
      <c r="S96" s="10" t="n">
        <v>10.6</v>
      </c>
    </row>
    <row r="97" ht="149" customHeight="1">
      <c r="A97" s="10" t="inlineStr">
        <is>
          <t>YT06-r1</t>
        </is>
      </c>
      <c r="B97" s="10" t="n">
        <v>1</v>
      </c>
      <c r="C97" s="10" t="inlineStr">
        <is>
          <t>โปรตีนที่รับต่อวัน ใช้น้ำหนักตัวคูนเหรอครับ แบบนี้คนอ้วนมากๆ 100 กว่าโล ไม่กินโปรตีนเท่านักกีฬาเพาะกายเลยเหรอครับ..การคำนวณโปรตีนต่อวันไม่ใช้ LBM คำนวณเหรอครับ</t>
        </is>
      </c>
      <c r="D97" s="10" t="inlineStr">
        <is>
          <t>ยอมรับว่าคนน้ำหนักมาก/ไขมันสูงไม่ควรคูณน้ำหนักทั้งหมดด้วยค่าสูง; ใช้น้ำหนักเป้าหมาย/น้ำหนักปรับ หรือ LBM (เช่น ~2.0–2.5+ g/kg LBM) หรือ ~1.2–1.5 g/kg น้ำหนักจริง</t>
        </is>
      </c>
      <c r="E97" s="10" t="inlineStr">
        <is>
          <t>ยืนยันให้คนอ้วน 100+ kg กิน 2 g/kg น้ำหนักจริงเสมอ</t>
        </is>
      </c>
      <c r="F97" s="10" t="inlineStr">
        <is>
          <t>สำหรับผู้ที่มีน้ำหนักตัวมากหรือมีไขมันสะสมเยอะ การใช้น้ำหนักตัวรวม (Total Body Weight) คูณตรง ๆ อาจทำให้ได้ปริมาณโปรตีนที่สูงเกินความจำเป็นครับ ในกรณีเช่นนี้ โภชนาการกีฬาจึงมีแนวทางใช้น้ำหนักตัวไร้ไขมัน (Lean Body Mass - FFM) มาคำนวณเช่นกัน เช่น แนวทางของ Helms ปี 2014 ที่เสนอช่วง 2.3-3.1 กรัมต่อกิโลกรัมมวลกายไร้ไขมันต่อวัน สำหรับผู้ฝึกแรงต้านที่ค่อนข้างผอมและลดพลังงานเตรียมแข่ง ซึ่งหน่วยนี้ไม่ใช่การใช้คูณกับน้ำหนักตัวรวมทั่วไป [S1] 
อย่างไรก็ตาม สำหรับคนทั่วไปหรือผู้ที่ออกกำลังกายทั่วไป สมาคมโภชนาการการกีฬานานาชาติ (ISSN Protein and Exercise ปี 2017) แนะนำช่วงโปรตีนรวมต่อวันไว้ที่ 1.4-2.0 กรัมต่อน้ำหนักตัว 1 กิโลกรัมสำหรับคนสุขภาพดีที่ออกกำลังกาย โดยปรับเปลี่ยนตามการฝึก พลังงาน และบุคคล [S2] 
หากคุณต้องการทราบเป้าหมายพลังงานและสารอาหารหลักที่คำนวณเฉพาะบุคคล สามารถแจ้งน้ำหนัก ส่วนสูง และระดับกิจกรรมให้ผมช่วยคำนวณได้เลยครับ</t>
        </is>
      </c>
      <c r="G97" s="15" t="inlineStr">
        <is>
          <t>ผ่าน</t>
        </is>
      </c>
      <c r="H97" s="10" t="inlineStr"/>
      <c r="I97" s="10" t="inlineStr">
        <is>
          <t>ยอมรับว่าคูณน้ำหนักรวมในคนน้ำหนักมากอาจได้โปรตีนสูงเกิน ใช้มวลไร้ไขมันได้ (Helms 2.3-3.1 g/kg FFM) และให้ช่วง ISSN 1.4-2.0 g/kg ข้อสังเกต: ไม่ให้ตัวเลขสำหรับคนอ้วนโดยตรง เช่น ใช้น้ำหนักเป้าหมาย</t>
        </is>
      </c>
      <c r="J97" s="19" t="inlineStr">
        <is>
          <t>บริการขัดข้อง</t>
        </is>
      </c>
      <c r="K97" s="10" t="inlineStr"/>
      <c r="L97" s="13" t="inlineStr">
        <is>
          <t>รอตรวจ</t>
        </is>
      </c>
      <c r="M97" s="13" t="inlineStr">
        <is>
          <t>รอตรวจ</t>
        </is>
      </c>
      <c r="N97" s="13" t="inlineStr"/>
      <c r="O97" s="14" t="inlineStr">
        <is>
          <t>YouTube comment</t>
        </is>
      </c>
      <c r="P97" s="10" t="inlineStr">
        <is>
          <t>S1:protein-requirement; S2:protein-requirement</t>
        </is>
      </c>
      <c r="Q97" s="10" t="inlineStr">
        <is>
          <t>ใช่</t>
        </is>
      </c>
      <c r="R97" s="10" t="n">
        <v>4</v>
      </c>
      <c r="S97" s="10" t="n">
        <v>5.4</v>
      </c>
    </row>
    <row r="98" ht="97" customHeight="1">
      <c r="A98" s="10" t="inlineStr">
        <is>
          <t>YT06-r2</t>
        </is>
      </c>
      <c r="B98" s="10" t="n">
        <v>2</v>
      </c>
      <c r="C98" s="10" t="inlineStr">
        <is>
          <t>โปรตีนที่รับต่อวัน ใช้น้ำหนักตัวคูนเหรอครับ แบบนี้คนอ้วนมากๆ 100 กว่าโล ไม่กินโปรตีนเท่านักกีฬาเพาะกายเลยเหรอครับ..การคำนวณโปรตีนต่อวันไม่ใช้ LBM คำนวณเหรอครับ</t>
        </is>
      </c>
      <c r="D98" s="10" t="inlineStr">
        <is>
          <t>ยอมรับว่าคนน้ำหนักมาก/ไขมันสูงไม่ควรคูณน้ำหนักทั้งหมดด้วยค่าสูง; ใช้น้ำหนักเป้าหมาย/น้ำหนักปรับ หรือ LBM (เช่น ~2.0–2.5+ g/kg LBM) หรือ ~1.2–1.5 g/kg น้ำหนักจริง</t>
        </is>
      </c>
      <c r="E98" s="10" t="inlineStr">
        <is>
          <t>ยืนยันให้คนอ้วน 100+ kg กิน 2 g/kg น้ำหนักจริงเสมอ</t>
        </is>
      </c>
      <c r="F98" s="10" t="inlineStr">
        <is>
          <t>การคำนวณโปรตีนสามารถใช้มวลกายไร้ไขมัน (FFM) ได้ โดย Helms ปี 2014 เสนอประมาณ 2.3-3.1 กรัมต่อกิโลกรัมมวลกายไร้ไขมันต่อวัน สำหรับผู้ฝึกแรงต้านที่ค่อนข้างผอมและลดพลังงานเตรียมแข่งเพาะกาย [S1] ซึ่งหน่วยนี้ไม่ใช่กรัมต่อกิโลกรัมน้ำหนักตัวรวม และไม่ควรนำไปแปลงเป็นช่วงของคนทั่วไปโดยไม่ทราบค่า FFM [S1]
ส่วนในคนทั่วไปที่สุขภาพดีและออกกำลังกาย ISSN ปี 2017 เสนอช่วง 1.4-2.0 กรัมต่อน้ำหนักตัว 1 กิโลกรัมต่อวัน โดยปรับเปลี่ยนตามการฝึก พลังงาน และบุคคล [S2] สำหรับประเด็นเรื่องการคำนวณในผู้ที่มีน้ำหนักตัวมากเกิน 100 กิโลกรัม เอกสารที่ให้มาไม่ได้ระบุแนวทางการปรับลดเฉพาะสำหรับคนอ้วนโดยตรงครับ</t>
        </is>
      </c>
      <c r="G98" s="11" t="inlineStr">
        <is>
          <t>ไม่ผ่าน</t>
        </is>
      </c>
      <c r="H98" s="10" t="inlineStr">
        <is>
          <t>ขาดประเด็นสำคัญ</t>
        </is>
      </c>
      <c r="I98" s="10" t="inlineStr">
        <is>
          <t>บอกว่าใช้ FFM ได้ (Helms) และช่วง ISSN แต่ไม่ยอมรับว่าการคูณน้ำหนักรวมในคนน้ำหนักมากอาจสูงเกิน ตอบเลี่ยงว่าเอกสารไม่ระบุแนวทางสำหรับคนอ้วน</t>
        </is>
      </c>
      <c r="J98" s="17" t="inlineStr">
        <is>
          <t>ไม่ผ่าน</t>
        </is>
      </c>
      <c r="K98" s="10" t="inlineStr">
        <is>
          <t>ตัวตรวจปัดตกทั้งคำตอบ</t>
        </is>
      </c>
      <c r="L98" s="13" t="inlineStr">
        <is>
          <t>รอตรวจ</t>
        </is>
      </c>
      <c r="M98" s="13" t="inlineStr">
        <is>
          <t>รอตรวจ</t>
        </is>
      </c>
      <c r="N98" s="13" t="inlineStr"/>
      <c r="O98" s="14" t="inlineStr">
        <is>
          <t>YouTube comment</t>
        </is>
      </c>
      <c r="P98" s="10" t="inlineStr">
        <is>
          <t>S1:protein-requirement; S2:protein-requirement</t>
        </is>
      </c>
      <c r="Q98" s="10" t="inlineStr">
        <is>
          <t>ใช่</t>
        </is>
      </c>
      <c r="R98" s="10" t="n">
        <v>7</v>
      </c>
      <c r="S98" s="10" t="n">
        <v>11.4</v>
      </c>
    </row>
    <row r="99" ht="97" customHeight="1">
      <c r="A99" s="10" t="inlineStr">
        <is>
          <t>YT06-r3</t>
        </is>
      </c>
      <c r="B99" s="10" t="n">
        <v>3</v>
      </c>
      <c r="C99" s="10" t="inlineStr">
        <is>
          <t>โปรตีนที่รับต่อวัน ใช้น้ำหนักตัวคูนเหรอครับ แบบนี้คนอ้วนมากๆ 100 กว่าโล ไม่กินโปรตีนเท่านักกีฬาเพาะกายเลยเหรอครับ..การคำนวณโปรตีนต่อวันไม่ใช้ LBM คำนวณเหรอครับ</t>
        </is>
      </c>
      <c r="D99" s="10" t="inlineStr">
        <is>
          <t>ยอมรับว่าคนน้ำหนักมาก/ไขมันสูงไม่ควรคูณน้ำหนักทั้งหมดด้วยค่าสูง; ใช้น้ำหนักเป้าหมาย/น้ำหนักปรับ หรือ LBM (เช่น ~2.0–2.5+ g/kg LBM) หรือ ~1.2–1.5 g/kg น้ำหนักจริง</t>
        </is>
      </c>
      <c r="E99" s="10" t="inlineStr">
        <is>
          <t>ยืนยันให้คนอ้วน 100+ kg กิน 2 g/kg น้ำหนักจริงเสมอ</t>
        </is>
      </c>
      <c r="F99" s="10" t="inlineStr">
        <is>
          <t>การคำนวณโปรตีนสามารถทำได้ทั้งแบบใช้น้ำหนักตัวรวมและมวลกายไร้ไขมันครับ โดยแต่ละวิธีมีแนวทางดังนี้:
* **การใช้น้ำหนักตัวรวม:** ISSN ปี 2017 เสนอ 1.4-2.0 กรัมต่อน้ำหนักตัว 1 กิโลกรัมต่อวัน สำหรับคนสุขภาพดีที่ออกกำลังกาย โดยปรับตามการฝึก พลังงาน และบุคคล [S2]
* **การใช้มวลกายไร้ไขมัน (FFM):** Helms ปี 2014 เสนอประมาณ 2.3-3.1 กรัมต่อกิโลกรัมมวลกายไร้ไขมันต่อวัน สำหรับผู้ฝึกแรงต้านที่ค่อนข้างผอมและลดพลังงานเตรียมแข่งเพาะกาย [S1] หน่วยนี้ไม่ใช่กรัมต่อกิโลกรัมน้ำหนักตัวรวม และไม่ควรแปลงเป็นช่วงของคนทั่วไปโดยไม่ทราบค่า FFM [S1]</t>
        </is>
      </c>
      <c r="G99" s="11" t="inlineStr">
        <is>
          <t>ไม่ผ่าน</t>
        </is>
      </c>
      <c r="H99" s="10" t="inlineStr">
        <is>
          <t>ขาดประเด็นสำคัญ</t>
        </is>
      </c>
      <c r="I99" s="10" t="inlineStr">
        <is>
          <t>อธิบายสองวิธี (ISSN ต่อน้ำหนักรวม และ Helms ต่อ FFM) แต่ไม่ยอมรับว่าคูณน้ำหนักรวมในคนน้ำหนักมากอาจสูงเกิน และไม่ให้แนวทางสำหรับคนอ้วนซึ่งเป็นประเด็นที่ถาม</t>
        </is>
      </c>
      <c r="J99" s="12" t="inlineStr">
        <is>
          <t>ผ่าน</t>
        </is>
      </c>
      <c r="K99" s="10" t="inlineStr"/>
      <c r="L99" s="13" t="inlineStr">
        <is>
          <t>รอตรวจ</t>
        </is>
      </c>
      <c r="M99" s="13" t="inlineStr">
        <is>
          <t>รอตรวจ</t>
        </is>
      </c>
      <c r="N99" s="13" t="inlineStr"/>
      <c r="O99" s="14" t="inlineStr">
        <is>
          <t>YouTube comment</t>
        </is>
      </c>
      <c r="P99" s="10" t="inlineStr">
        <is>
          <t>S1:protein-requirement; S2:protein-requirement</t>
        </is>
      </c>
      <c r="Q99" s="10" t="inlineStr">
        <is>
          <t>ใช่</t>
        </is>
      </c>
      <c r="R99" s="10" t="n">
        <v>8</v>
      </c>
      <c r="S99" s="10" t="n">
        <v>20.6</v>
      </c>
    </row>
    <row r="100" ht="58" customHeight="1">
      <c r="A100" s="10" t="inlineStr">
        <is>
          <t>YT07-r1</t>
        </is>
      </c>
      <c r="B100" s="10" t="n">
        <v>1</v>
      </c>
      <c r="C100" s="10" t="inlineStr">
        <is>
          <t>ถ้ากินโปรตีนมื้อเดียว 100 g ร่างกายดูดซึมโปรตีนหมดมั้ยครับ</t>
        </is>
      </c>
      <c r="D100" s="10" t="inlineStr">
        <is>
          <t>100 g ในมื้อเดียวถูกย่อยและดูดซึมเกือบทั้งหมด (ช้าลง) ไม่ได้เสียเปล่า แต่การกระจายมื้อช่วยการสร้างกล้ามได้ดีกว่า/สะดวก</t>
        </is>
      </c>
      <c r="E100" s="10" t="inlineStr">
        <is>
          <t>บอกว่าดูดซึมได้แค่ 30 g ที่เหลือทิ้ง</t>
        </is>
      </c>
      <c r="F100" s="10" t="inlineStr">
        <is>
          <t>ไม่มีหลักฐานในข้อมูลที่ค้นได้ซึ่งระบุเป็นตัวเลขแน่นอนว่าโปรตีน 100 กรัมจากมื้อเดียว จะถูกดูดซึมกี่กรัม จึงไม่ควรสรุปว่าเกิน 20-30 กรัมแล้วไม่ถูกดูดซึมหรือเสียเปล่า การดูดซึมเป็นคนละเรื่องกับปริมาณที่ใช้กระตุ้นการสร้างโปรตีนกล้ามเนื้อในช่วงหนึ่ง และไม่สามารถบอกได้ว่ากรดอะมิโนทั้งหมดจะไปสร้างกล้ามเนื้อทันที ให้เน้นปริมาณโปรตีนรวมต่อวัน และแบ่งมื้อตามความสะดวก โดยไม่จำเป็นต้องยึดช่วงห่างตายตัว</t>
        </is>
      </c>
      <c r="G100" s="15" t="inlineStr">
        <is>
          <t>ผ่าน</t>
        </is>
      </c>
      <c r="H100" s="10" t="inlineStr"/>
      <c r="I100" s="10" t="inlineStr">
        <is>
          <t>บอกว่าไม่ควรสรุปว่าเกิน 20-30 g แล้วไม่ถูกดูดซึมหรือเสียเปล่า แยกการดูดซึมกับการกระตุ้นสร้างกล้าม และเน้นโปรตีนรวมต่อวัน</t>
        </is>
      </c>
      <c r="J100" s="12" t="inlineStr">
        <is>
          <t>ผ่าน</t>
        </is>
      </c>
      <c r="K100" s="10" t="inlineStr"/>
      <c r="L100" s="13" t="inlineStr">
        <is>
          <t>รอตรวจ</t>
        </is>
      </c>
      <c r="M100" s="13" t="inlineStr">
        <is>
          <t>รอตรวจ</t>
        </is>
      </c>
      <c r="N100" s="13" t="inlineStr"/>
      <c r="O100" s="14" t="inlineStr">
        <is>
          <t>YouTube comment</t>
        </is>
      </c>
      <c r="P100" s="10" t="inlineStr"/>
      <c r="Q100" s="10" t="inlineStr">
        <is>
          <t>ไม่</t>
        </is>
      </c>
      <c r="R100" s="10" t="n">
        <v>1</v>
      </c>
      <c r="S100" s="10" t="n">
        <v>1.9</v>
      </c>
    </row>
    <row r="101" ht="58" customHeight="1">
      <c r="A101" s="10" t="inlineStr">
        <is>
          <t>YT08-r1</t>
        </is>
      </c>
      <c r="B101" s="10" t="n">
        <v>1</v>
      </c>
      <c r="C101" s="10" t="inlineStr">
        <is>
          <t>เวย์จิงมั้ยคับที่กินมากๆไตจะพังพาไม่กล้ากินเลยอาจเป็นอันตรายในระยะยาว</t>
        </is>
      </c>
      <c r="D101" s="10" t="inlineStr">
        <is>
          <t>ในคนไตปกติ ไม่มีหลักฐานว่าเวย์/โปรตีนสูงทำให้ไตเสีย; คนมีโรคไตหรือเสี่ยง (เบาหวาน ความดัน) ปรึกษาแพทย์; ไม่จำเป็นต้องกินมากเกินเป้า</t>
        </is>
      </c>
      <c r="E101" s="10" t="inlineStr">
        <is>
          <t>ขู่ว่าไตพังแน่นอน</t>
        </is>
      </c>
      <c r="F101" s="10" t="inlineStr">
        <is>
          <t>เรื่องโรค อาการเจ็บป่วย ผลตรวจ และยา อยู่นอกขอบเขตของระบบนี้ครับ
ผมจึงไม่กำหนดเป้าหมายโปรตีน พลังงาน หรือเมนูเฉพาะบุคคลในบริบทนี้ เพราะข้อมูลที่เหมาะกับคนทั่วไปอาจไม่เหมาะกับคุณ
กรุณาปรึกษาแพทย์ เภสัชกร หรือนักกำหนดอาหารวิชาชีพที่ดูแลคุณอยู่ครับ</t>
        </is>
      </c>
      <c r="G101" s="18" t="inlineStr">
        <is>
          <t>ผ่านตามนโยบาย</t>
        </is>
      </c>
      <c r="H101" s="10" t="inlineStr"/>
      <c r="I101" s="10" t="inlineStr">
        <is>
          <t>ถามว่าเวย์ทำให้ไตพังไหม ระบบปฏิเสธเพราะเป็นเรื่องสุขภาพของอวัยวะตามนโยบายใหม่ (#45) เป็นการเปลี่ยนนโยบาย ไม่ใช่การแก้หรือการถอยลง</t>
        </is>
      </c>
      <c r="J101" s="16" t="inlineStr">
        <is>
          <t>ผ่านตามนโยบาย</t>
        </is>
      </c>
      <c r="K101" s="10" t="inlineStr"/>
      <c r="L101" s="13" t="inlineStr">
        <is>
          <t>รอตรวจ</t>
        </is>
      </c>
      <c r="M101" s="13" t="inlineStr">
        <is>
          <t>รอตรวจ</t>
        </is>
      </c>
      <c r="N101" s="13" t="inlineStr"/>
      <c r="O101" s="14" t="inlineStr">
        <is>
          <t>YouTube comment</t>
        </is>
      </c>
      <c r="P101" s="10" t="inlineStr"/>
      <c r="Q101" s="10" t="inlineStr">
        <is>
          <t>ไม่</t>
        </is>
      </c>
      <c r="R101" s="10" t="n">
        <v>1</v>
      </c>
      <c r="S101" s="10" t="n">
        <v>1.3</v>
      </c>
    </row>
    <row r="102" ht="58" customHeight="1">
      <c r="A102" s="10" t="inlineStr">
        <is>
          <t>YT09-r1</t>
        </is>
      </c>
      <c r="B102" s="10" t="n">
        <v>1</v>
      </c>
      <c r="C102" s="10" t="inlineStr">
        <is>
          <t>ล่าสุดมีหมอออกมาพูด ว่ากินครีเอทีน ทำให้ค่า คีเอทีนีนของไต สูงขึ้น จริงไหมครับ</t>
        </is>
      </c>
      <c r="D102" s="10" t="inlineStr">
        <is>
          <t>อธิบาย: ครีเอทีนเสริมทำให้ค่าครีเอตินินในเลือดสูงขึ้นได้โดยไม่ได้แปลว่าไตเสีย (ครีเอตินินเป็นผลผลิตสลายของครีเอทีน); ควรแจ้งแพทย์ก่อนตรวจ; ผู้มีโรคไตปรึกษาแพทย์; ไม่วินิจฉัย</t>
        </is>
      </c>
      <c r="E102" s="10" t="inlineStr">
        <is>
          <t>บอกว่าครีเอทีนทำลายไต หรือแปลผลค่าแล็บ</t>
        </is>
      </c>
      <c r="F102" s="10" t="inlineStr">
        <is>
          <t>เรื่องโรค อาการเจ็บป่วย ผลตรวจ และยา อยู่นอกขอบเขตของระบบนี้ครับ
ผมจึงไม่กำหนดเป้าหมายโปรตีน พลังงาน หรือเมนูเฉพาะบุคคลในบริบทนี้ เพราะข้อมูลที่เหมาะกับคนทั่วไปอาจไม่เหมาะกับคุณ
กรุณาปรึกษาแพทย์ เภสัชกร หรือนักกำหนดอาหารวิชาชีพที่ดูแลคุณอยู่ครับ</t>
        </is>
      </c>
      <c r="G102" s="18" t="inlineStr">
        <is>
          <t>ผ่านตามนโยบาย</t>
        </is>
      </c>
      <c r="H102" s="10" t="inlineStr"/>
      <c r="I102" s="10" t="inlineStr">
        <is>
          <t>ถามเรื่องค่าครีเอตินินของไต ระบบปฏิเสธเพราะเป็นเรื่องผลตรวจและอวัยวะตามนโยบายผู้จัดทำ (#45)</t>
        </is>
      </c>
      <c r="J102" s="12" t="inlineStr">
        <is>
          <t>ผ่าน</t>
        </is>
      </c>
      <c r="K102" s="10" t="inlineStr"/>
      <c r="L102" s="13" t="inlineStr">
        <is>
          <t>รอตรวจ</t>
        </is>
      </c>
      <c r="M102" s="13" t="inlineStr">
        <is>
          <t>รอตรวจ</t>
        </is>
      </c>
      <c r="N102" s="13" t="inlineStr"/>
      <c r="O102" s="14" t="inlineStr">
        <is>
          <t>YouTube comment</t>
        </is>
      </c>
      <c r="P102" s="10" t="inlineStr"/>
      <c r="Q102" s="10" t="inlineStr">
        <is>
          <t>ไม่</t>
        </is>
      </c>
      <c r="R102" s="10" t="n">
        <v>1</v>
      </c>
      <c r="S102" s="10" t="n">
        <v>5.2</v>
      </c>
    </row>
  </sheetData>
  <autoFilter ref="A1:S102"/>
  <conditionalFormatting sqref="L2:M102">
    <cfRule type="expression" priority="1" dxfId="0" stopIfTrue="1">
      <formula>L2="ผ่าน"</formula>
    </cfRule>
    <cfRule type="expression" priority="2" dxfId="1" stopIfTrue="1">
      <formula>L2="ผ่านบางส่วน"</formula>
    </cfRule>
    <cfRule type="expression" priority="3" dxfId="2" stopIfTrue="1">
      <formula>L2="ไม่ผ่าน"</formula>
    </cfRule>
  </conditionalFormatting>
  <dataValidations count="1">
    <dataValidation sqref="L2:M102" showDropDown="0" showInputMessage="0" showErrorMessage="0" allowBlank="1" type="list">
      <formula1>"รอตรวจ,ผ่าน,ผ่านบางส่วน,ไม่ผ่าน"</formula1>
    </dataValidation>
  </dataValidations>
  <hyperlinks>
    <hyperlink xmlns:r="http://schemas.openxmlformats.org/officeDocument/2006/relationships" ref="O2" r:id="rId1"/>
    <hyperlink xmlns:r="http://schemas.openxmlformats.org/officeDocument/2006/relationships" ref="O3" r:id="rId2"/>
    <hyperlink xmlns:r="http://schemas.openxmlformats.org/officeDocument/2006/relationships" ref="O4" r:id="rId3"/>
    <hyperlink xmlns:r="http://schemas.openxmlformats.org/officeDocument/2006/relationships" ref="O5" r:id="rId4"/>
    <hyperlink xmlns:r="http://schemas.openxmlformats.org/officeDocument/2006/relationships" ref="O6" r:id="rId5"/>
    <hyperlink xmlns:r="http://schemas.openxmlformats.org/officeDocument/2006/relationships" ref="O7" r:id="rId6"/>
    <hyperlink xmlns:r="http://schemas.openxmlformats.org/officeDocument/2006/relationships" ref="O8" r:id="rId7"/>
    <hyperlink xmlns:r="http://schemas.openxmlformats.org/officeDocument/2006/relationships" ref="O9" r:id="rId8"/>
    <hyperlink xmlns:r="http://schemas.openxmlformats.org/officeDocument/2006/relationships" ref="O10" r:id="rId9"/>
    <hyperlink xmlns:r="http://schemas.openxmlformats.org/officeDocument/2006/relationships" ref="O11" r:id="rId10"/>
    <hyperlink xmlns:r="http://schemas.openxmlformats.org/officeDocument/2006/relationships" ref="O12" r:id="rId11"/>
    <hyperlink xmlns:r="http://schemas.openxmlformats.org/officeDocument/2006/relationships" ref="O13" r:id="rId12"/>
    <hyperlink xmlns:r="http://schemas.openxmlformats.org/officeDocument/2006/relationships" ref="O14" r:id="rId13"/>
    <hyperlink xmlns:r="http://schemas.openxmlformats.org/officeDocument/2006/relationships" ref="O15" r:id="rId14"/>
    <hyperlink xmlns:r="http://schemas.openxmlformats.org/officeDocument/2006/relationships" ref="O16" r:id="rId15"/>
    <hyperlink xmlns:r="http://schemas.openxmlformats.org/officeDocument/2006/relationships" ref="O17" r:id="rId16"/>
    <hyperlink xmlns:r="http://schemas.openxmlformats.org/officeDocument/2006/relationships" ref="O18" r:id="rId17"/>
    <hyperlink xmlns:r="http://schemas.openxmlformats.org/officeDocument/2006/relationships" ref="O19" r:id="rId18"/>
    <hyperlink xmlns:r="http://schemas.openxmlformats.org/officeDocument/2006/relationships" ref="O20" r:id="rId19"/>
    <hyperlink xmlns:r="http://schemas.openxmlformats.org/officeDocument/2006/relationships" ref="O21" r:id="rId20"/>
    <hyperlink xmlns:r="http://schemas.openxmlformats.org/officeDocument/2006/relationships" ref="O22" r:id="rId21"/>
    <hyperlink xmlns:r="http://schemas.openxmlformats.org/officeDocument/2006/relationships" ref="O23" r:id="rId22"/>
    <hyperlink xmlns:r="http://schemas.openxmlformats.org/officeDocument/2006/relationships" ref="O24" r:id="rId23"/>
    <hyperlink xmlns:r="http://schemas.openxmlformats.org/officeDocument/2006/relationships" ref="O25" r:id="rId24"/>
    <hyperlink xmlns:r="http://schemas.openxmlformats.org/officeDocument/2006/relationships" ref="O26" r:id="rId25"/>
    <hyperlink xmlns:r="http://schemas.openxmlformats.org/officeDocument/2006/relationships" ref="O27" r:id="rId26"/>
    <hyperlink xmlns:r="http://schemas.openxmlformats.org/officeDocument/2006/relationships" ref="O28" r:id="rId27"/>
    <hyperlink xmlns:r="http://schemas.openxmlformats.org/officeDocument/2006/relationships" ref="O29" r:id="rId28"/>
    <hyperlink xmlns:r="http://schemas.openxmlformats.org/officeDocument/2006/relationships" ref="O30" r:id="rId29"/>
    <hyperlink xmlns:r="http://schemas.openxmlformats.org/officeDocument/2006/relationships" ref="O31" r:id="rId30"/>
    <hyperlink xmlns:r="http://schemas.openxmlformats.org/officeDocument/2006/relationships" ref="O32" r:id="rId31"/>
    <hyperlink xmlns:r="http://schemas.openxmlformats.org/officeDocument/2006/relationships" ref="O33" r:id="rId32"/>
    <hyperlink xmlns:r="http://schemas.openxmlformats.org/officeDocument/2006/relationships" ref="O34" r:id="rId33"/>
    <hyperlink xmlns:r="http://schemas.openxmlformats.org/officeDocument/2006/relationships" ref="O35" r:id="rId34"/>
    <hyperlink xmlns:r="http://schemas.openxmlformats.org/officeDocument/2006/relationships" ref="O36" r:id="rId35"/>
    <hyperlink xmlns:r="http://schemas.openxmlformats.org/officeDocument/2006/relationships" ref="O37" r:id="rId36"/>
    <hyperlink xmlns:r="http://schemas.openxmlformats.org/officeDocument/2006/relationships" ref="O38" r:id="rId37"/>
    <hyperlink xmlns:r="http://schemas.openxmlformats.org/officeDocument/2006/relationships" ref="O39" r:id="rId38"/>
    <hyperlink xmlns:r="http://schemas.openxmlformats.org/officeDocument/2006/relationships" ref="O40" r:id="rId39"/>
    <hyperlink xmlns:r="http://schemas.openxmlformats.org/officeDocument/2006/relationships" ref="O41" r:id="rId40"/>
    <hyperlink xmlns:r="http://schemas.openxmlformats.org/officeDocument/2006/relationships" ref="O42" r:id="rId41"/>
    <hyperlink xmlns:r="http://schemas.openxmlformats.org/officeDocument/2006/relationships" ref="O43" r:id="rId42"/>
    <hyperlink xmlns:r="http://schemas.openxmlformats.org/officeDocument/2006/relationships" ref="O44" r:id="rId43"/>
    <hyperlink xmlns:r="http://schemas.openxmlformats.org/officeDocument/2006/relationships" ref="O45" r:id="rId44"/>
    <hyperlink xmlns:r="http://schemas.openxmlformats.org/officeDocument/2006/relationships" ref="O46" r:id="rId45"/>
    <hyperlink xmlns:r="http://schemas.openxmlformats.org/officeDocument/2006/relationships" ref="O47" r:id="rId46"/>
    <hyperlink xmlns:r="http://schemas.openxmlformats.org/officeDocument/2006/relationships" ref="O48" r:id="rId47"/>
    <hyperlink xmlns:r="http://schemas.openxmlformats.org/officeDocument/2006/relationships" ref="O49" r:id="rId48"/>
    <hyperlink xmlns:r="http://schemas.openxmlformats.org/officeDocument/2006/relationships" ref="O50" r:id="rId49"/>
    <hyperlink xmlns:r="http://schemas.openxmlformats.org/officeDocument/2006/relationships" ref="O51" r:id="rId50"/>
    <hyperlink xmlns:r="http://schemas.openxmlformats.org/officeDocument/2006/relationships" ref="O52" r:id="rId51"/>
    <hyperlink xmlns:r="http://schemas.openxmlformats.org/officeDocument/2006/relationships" ref="O53" r:id="rId52"/>
    <hyperlink xmlns:r="http://schemas.openxmlformats.org/officeDocument/2006/relationships" ref="O54" r:id="rId53"/>
    <hyperlink xmlns:r="http://schemas.openxmlformats.org/officeDocument/2006/relationships" ref="O55" r:id="rId54"/>
    <hyperlink xmlns:r="http://schemas.openxmlformats.org/officeDocument/2006/relationships" ref="O56" r:id="rId55"/>
    <hyperlink xmlns:r="http://schemas.openxmlformats.org/officeDocument/2006/relationships" ref="O57" r:id="rId56"/>
    <hyperlink xmlns:r="http://schemas.openxmlformats.org/officeDocument/2006/relationships" ref="O58" r:id="rId57"/>
    <hyperlink xmlns:r="http://schemas.openxmlformats.org/officeDocument/2006/relationships" ref="O59" r:id="rId58"/>
    <hyperlink xmlns:r="http://schemas.openxmlformats.org/officeDocument/2006/relationships" ref="O60" r:id="rId59"/>
    <hyperlink xmlns:r="http://schemas.openxmlformats.org/officeDocument/2006/relationships" ref="O61" r:id="rId60"/>
    <hyperlink xmlns:r="http://schemas.openxmlformats.org/officeDocument/2006/relationships" ref="O62" r:id="rId61"/>
    <hyperlink xmlns:r="http://schemas.openxmlformats.org/officeDocument/2006/relationships" ref="O63" r:id="rId62"/>
    <hyperlink xmlns:r="http://schemas.openxmlformats.org/officeDocument/2006/relationships" ref="O64" r:id="rId63"/>
    <hyperlink xmlns:r="http://schemas.openxmlformats.org/officeDocument/2006/relationships" ref="O65" r:id="rId64"/>
    <hyperlink xmlns:r="http://schemas.openxmlformats.org/officeDocument/2006/relationships" ref="O66" r:id="rId65"/>
    <hyperlink xmlns:r="http://schemas.openxmlformats.org/officeDocument/2006/relationships" ref="O67" r:id="rId66"/>
    <hyperlink xmlns:r="http://schemas.openxmlformats.org/officeDocument/2006/relationships" ref="O68" r:id="rId67"/>
    <hyperlink xmlns:r="http://schemas.openxmlformats.org/officeDocument/2006/relationships" ref="O69" r:id="rId68"/>
    <hyperlink xmlns:r="http://schemas.openxmlformats.org/officeDocument/2006/relationships" ref="O70" r:id="rId69"/>
    <hyperlink xmlns:r="http://schemas.openxmlformats.org/officeDocument/2006/relationships" ref="O71" r:id="rId70"/>
    <hyperlink xmlns:r="http://schemas.openxmlformats.org/officeDocument/2006/relationships" ref="O72" r:id="rId71"/>
    <hyperlink xmlns:r="http://schemas.openxmlformats.org/officeDocument/2006/relationships" ref="O73" r:id="rId72"/>
    <hyperlink xmlns:r="http://schemas.openxmlformats.org/officeDocument/2006/relationships" ref="O74" r:id="rId73"/>
    <hyperlink xmlns:r="http://schemas.openxmlformats.org/officeDocument/2006/relationships" ref="O75" r:id="rId74"/>
    <hyperlink xmlns:r="http://schemas.openxmlformats.org/officeDocument/2006/relationships" ref="O76" r:id="rId75"/>
    <hyperlink xmlns:r="http://schemas.openxmlformats.org/officeDocument/2006/relationships" ref="O77" r:id="rId76"/>
    <hyperlink xmlns:r="http://schemas.openxmlformats.org/officeDocument/2006/relationships" ref="O78" r:id="rId77"/>
    <hyperlink xmlns:r="http://schemas.openxmlformats.org/officeDocument/2006/relationships" ref="O79" r:id="rId78"/>
    <hyperlink xmlns:r="http://schemas.openxmlformats.org/officeDocument/2006/relationships" ref="O80" r:id="rId79"/>
    <hyperlink xmlns:r="http://schemas.openxmlformats.org/officeDocument/2006/relationships" ref="O81" r:id="rId80"/>
    <hyperlink xmlns:r="http://schemas.openxmlformats.org/officeDocument/2006/relationships" ref="O82" r:id="rId81"/>
    <hyperlink xmlns:r="http://schemas.openxmlformats.org/officeDocument/2006/relationships" ref="O83" r:id="rId82"/>
    <hyperlink xmlns:r="http://schemas.openxmlformats.org/officeDocument/2006/relationships" ref="O84" r:id="rId83"/>
    <hyperlink xmlns:r="http://schemas.openxmlformats.org/officeDocument/2006/relationships" ref="O85" r:id="rId84"/>
    <hyperlink xmlns:r="http://schemas.openxmlformats.org/officeDocument/2006/relationships" ref="O86" r:id="rId85"/>
    <hyperlink xmlns:r="http://schemas.openxmlformats.org/officeDocument/2006/relationships" ref="O87" r:id="rId86"/>
    <hyperlink xmlns:r="http://schemas.openxmlformats.org/officeDocument/2006/relationships" ref="O88" r:id="rId87"/>
    <hyperlink xmlns:r="http://schemas.openxmlformats.org/officeDocument/2006/relationships" ref="O89" r:id="rId88"/>
    <hyperlink xmlns:r="http://schemas.openxmlformats.org/officeDocument/2006/relationships" ref="O90" r:id="rId89"/>
    <hyperlink xmlns:r="http://schemas.openxmlformats.org/officeDocument/2006/relationships" ref="O91" r:id="rId90"/>
    <hyperlink xmlns:r="http://schemas.openxmlformats.org/officeDocument/2006/relationships" ref="O92" r:id="rId91"/>
    <hyperlink xmlns:r="http://schemas.openxmlformats.org/officeDocument/2006/relationships" ref="O93" r:id="rId92"/>
    <hyperlink xmlns:r="http://schemas.openxmlformats.org/officeDocument/2006/relationships" ref="O94" r:id="rId93"/>
    <hyperlink xmlns:r="http://schemas.openxmlformats.org/officeDocument/2006/relationships" ref="O95" r:id="rId94"/>
    <hyperlink xmlns:r="http://schemas.openxmlformats.org/officeDocument/2006/relationships" ref="O96" r:id="rId95"/>
    <hyperlink xmlns:r="http://schemas.openxmlformats.org/officeDocument/2006/relationships" ref="O97" r:id="rId96"/>
    <hyperlink xmlns:r="http://schemas.openxmlformats.org/officeDocument/2006/relationships" ref="O98" r:id="rId97"/>
    <hyperlink xmlns:r="http://schemas.openxmlformats.org/officeDocument/2006/relationships" ref="O99" r:id="rId98"/>
    <hyperlink xmlns:r="http://schemas.openxmlformats.org/officeDocument/2006/relationships" ref="O100" r:id="rId99"/>
    <hyperlink xmlns:r="http://schemas.openxmlformats.org/officeDocument/2006/relationships" ref="O101" r:id="rId100"/>
    <hyperlink xmlns:r="http://schemas.openxmlformats.org/officeDocument/2006/relationships" ref="O102" r:id="rId10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2026-10-24T09:35:33Z</dcterms:created>
  <dcterms:modified xsi:type="dcterms:W3CDTF">2026-10-24T09:35:33Z</dcterms:modified>
</cp:coreProperties>
</file>