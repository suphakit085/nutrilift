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วิธีตรวจ" sheetId="1" state="visible" r:id="rId1"/>
    <sheet name="ตรวจ" sheetId="2" state="visible" r:id="rId2"/>
  </sheets>
  <definedNames>
    <definedName name="_xlnm._FilterDatabase" localSheetId="1" hidden="1">'ตรวจ'!$A$1:$U$102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  <font>
      <name val="Tahoma"/>
      <b val="1"/>
      <sz val="14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ek-d.com/board/view/2215288/" TargetMode="External" Id="rId1" /><Relationship Type="http://schemas.openxmlformats.org/officeDocument/2006/relationships/hyperlink" Target="https://www.dek-d.com/board/view/1956933/" TargetMode="External" Id="rId2" /><Relationship Type="http://schemas.openxmlformats.org/officeDocument/2006/relationships/hyperlink" Target="https://pantip.com/topic/30559701" TargetMode="External" Id="rId3" /><Relationship Type="http://schemas.openxmlformats.org/officeDocument/2006/relationships/hyperlink" Target="https://pantip.com/topic/30370398" TargetMode="External" Id="rId4" /><Relationship Type="http://schemas.openxmlformats.org/officeDocument/2006/relationships/hyperlink" Target="https://pantip.com/topic/30370398" TargetMode="External" Id="rId5" /><Relationship Type="http://schemas.openxmlformats.org/officeDocument/2006/relationships/hyperlink" Target="https://pantip.com/topic/30370398" TargetMode="External" Id="rId6" /><Relationship Type="http://schemas.openxmlformats.org/officeDocument/2006/relationships/hyperlink" Target="https://pantip.com/topic/32432040" TargetMode="External" Id="rId7" /><Relationship Type="http://schemas.openxmlformats.org/officeDocument/2006/relationships/hyperlink" Target="https://pantip.com/topic/34361903" TargetMode="External" Id="rId8" /><Relationship Type="http://schemas.openxmlformats.org/officeDocument/2006/relationships/hyperlink" Target="https://pantip.com/topic/37087706" TargetMode="External" Id="rId9" /><Relationship Type="http://schemas.openxmlformats.org/officeDocument/2006/relationships/hyperlink" Target="https://pantip.com/topic/37087706" TargetMode="External" Id="rId10" /><Relationship Type="http://schemas.openxmlformats.org/officeDocument/2006/relationships/hyperlink" Target="https://pantip.com/topic/37087706" TargetMode="External" Id="rId11" /><Relationship Type="http://schemas.openxmlformats.org/officeDocument/2006/relationships/hyperlink" Target="https://pantip.com/topic/31688791" TargetMode="External" Id="rId12" /><Relationship Type="http://schemas.openxmlformats.org/officeDocument/2006/relationships/hyperlink" Target="https://pantip.com/topic/31842043" TargetMode="External" Id="rId13" /><Relationship Type="http://schemas.openxmlformats.org/officeDocument/2006/relationships/hyperlink" Target="https://pantip.com/topic/30090551" TargetMode="External" Id="rId14" /><Relationship Type="http://schemas.openxmlformats.org/officeDocument/2006/relationships/hyperlink" Target="https://pantip.com/topic/30090551" TargetMode="External" Id="rId15" /><Relationship Type="http://schemas.openxmlformats.org/officeDocument/2006/relationships/hyperlink" Target="https://pantip.com/topic/30090551" TargetMode="External" Id="rId16" /><Relationship Type="http://schemas.openxmlformats.org/officeDocument/2006/relationships/hyperlink" Target="https://pantip.com/topic/42714828" TargetMode="External" Id="rId17" /><Relationship Type="http://schemas.openxmlformats.org/officeDocument/2006/relationships/hyperlink" Target="https://pantip.com/topic/42714828" TargetMode="External" Id="rId18" /><Relationship Type="http://schemas.openxmlformats.org/officeDocument/2006/relationships/hyperlink" Target="https://pantip.com/topic/42714828" TargetMode="External" Id="rId19" /><Relationship Type="http://schemas.openxmlformats.org/officeDocument/2006/relationships/hyperlink" Target="https://pantip.com/topic/31104790" TargetMode="External" Id="rId20" /><Relationship Type="http://schemas.openxmlformats.org/officeDocument/2006/relationships/hyperlink" Target="https://pantip.com/topic/31104790" TargetMode="External" Id="rId21" /><Relationship Type="http://schemas.openxmlformats.org/officeDocument/2006/relationships/hyperlink" Target="https://pantip.com/topic/31104790" TargetMode="External" Id="rId22" /><Relationship Type="http://schemas.openxmlformats.org/officeDocument/2006/relationships/hyperlink" Target="https://pantip.com/topic/31778568" TargetMode="External" Id="rId23" /><Relationship Type="http://schemas.openxmlformats.org/officeDocument/2006/relationships/hyperlink" Target="https://pantip.com/topic/31778568" TargetMode="External" Id="rId24" /><Relationship Type="http://schemas.openxmlformats.org/officeDocument/2006/relationships/hyperlink" Target="https://pantip.com/topic/31778568" TargetMode="External" Id="rId25" /><Relationship Type="http://schemas.openxmlformats.org/officeDocument/2006/relationships/hyperlink" Target="https://pantip.com/topic/33152458" TargetMode="External" Id="rId26" /><Relationship Type="http://schemas.openxmlformats.org/officeDocument/2006/relationships/hyperlink" Target="https://pantip.com/topic/35360621" TargetMode="External" Id="rId27" /><Relationship Type="http://schemas.openxmlformats.org/officeDocument/2006/relationships/hyperlink" Target="https://pantip.com/topic/34229869" TargetMode="External" Id="rId28" /><Relationship Type="http://schemas.openxmlformats.org/officeDocument/2006/relationships/hyperlink" Target="https://pantip.com/topic/34229869" TargetMode="External" Id="rId29" /><Relationship Type="http://schemas.openxmlformats.org/officeDocument/2006/relationships/hyperlink" Target="https://pantip.com/topic/34229869" TargetMode="External" Id="rId30" /><Relationship Type="http://schemas.openxmlformats.org/officeDocument/2006/relationships/hyperlink" Target="https://pantip.com/topic/39668435" TargetMode="External" Id="rId31" /><Relationship Type="http://schemas.openxmlformats.org/officeDocument/2006/relationships/hyperlink" Target="https://pantip.com/topic/40659755" TargetMode="External" Id="rId32" /><Relationship Type="http://schemas.openxmlformats.org/officeDocument/2006/relationships/hyperlink" Target="https://pantip.com/topic/42641795" TargetMode="External" Id="rId33" /><Relationship Type="http://schemas.openxmlformats.org/officeDocument/2006/relationships/hyperlink" Target="https://pantip.com/topic/30278950" TargetMode="External" Id="rId34" /><Relationship Type="http://schemas.openxmlformats.org/officeDocument/2006/relationships/hyperlink" Target="https://pantip.com/topic/30218499" TargetMode="External" Id="rId35" /><Relationship Type="http://schemas.openxmlformats.org/officeDocument/2006/relationships/hyperlink" Target="https://pantip.com/topic/30218499" TargetMode="External" Id="rId36" /><Relationship Type="http://schemas.openxmlformats.org/officeDocument/2006/relationships/hyperlink" Target="https://pantip.com/topic/30218499" TargetMode="External" Id="rId37" /><Relationship Type="http://schemas.openxmlformats.org/officeDocument/2006/relationships/hyperlink" Target="https://pantip.com/topic/42993454" TargetMode="External" Id="rId38" /><Relationship Type="http://schemas.openxmlformats.org/officeDocument/2006/relationships/hyperlink" Target="https://pantip.com/topic/42993454" TargetMode="External" Id="rId39" /><Relationship Type="http://schemas.openxmlformats.org/officeDocument/2006/relationships/hyperlink" Target="https://pantip.com/topic/42993454" TargetMode="External" Id="rId40" /><Relationship Type="http://schemas.openxmlformats.org/officeDocument/2006/relationships/hyperlink" Target="https://pantip.com/topic/32242698" TargetMode="External" Id="rId41" /><Relationship Type="http://schemas.openxmlformats.org/officeDocument/2006/relationships/hyperlink" Target="https://pantip.com/topic/40288503" TargetMode="External" Id="rId42" /><Relationship Type="http://schemas.openxmlformats.org/officeDocument/2006/relationships/hyperlink" Target="https://pantip.com/topic/39393517" TargetMode="External" Id="rId43" /><Relationship Type="http://schemas.openxmlformats.org/officeDocument/2006/relationships/hyperlink" Target="https://pantip.com/topic/30842105" TargetMode="External" Id="rId44" /><Relationship Type="http://schemas.openxmlformats.org/officeDocument/2006/relationships/hyperlink" Target="https://pantip.com/topic/37713549" TargetMode="External" Id="rId45" /><Relationship Type="http://schemas.openxmlformats.org/officeDocument/2006/relationships/hyperlink" Target="https://pantip.com/topic/42082070" TargetMode="External" Id="rId46" /><Relationship Type="http://schemas.openxmlformats.org/officeDocument/2006/relationships/hyperlink" Target="https://pantip.com/topic/42082070" TargetMode="External" Id="rId47" /><Relationship Type="http://schemas.openxmlformats.org/officeDocument/2006/relationships/hyperlink" Target="https://pantip.com/topic/42082070" TargetMode="External" Id="rId48" /><Relationship Type="http://schemas.openxmlformats.org/officeDocument/2006/relationships/hyperlink" Target="https://pantip.com/topic/32440829" TargetMode="External" Id="rId49" /><Relationship Type="http://schemas.openxmlformats.org/officeDocument/2006/relationships/hyperlink" Target="https://pantip.com/topic/38981880" TargetMode="External" Id="rId50" /><Relationship Type="http://schemas.openxmlformats.org/officeDocument/2006/relationships/hyperlink" Target="https://pantip.com/topic/34737232" TargetMode="External" Id="rId51" /><Relationship Type="http://schemas.openxmlformats.org/officeDocument/2006/relationships/hyperlink" Target="https://pantip.com/topic/34737232" TargetMode="External" Id="rId52" /><Relationship Type="http://schemas.openxmlformats.org/officeDocument/2006/relationships/hyperlink" Target="https://pantip.com/topic/34737232" TargetMode="External" Id="rId53" /><Relationship Type="http://schemas.openxmlformats.org/officeDocument/2006/relationships/hyperlink" Target="https://pantip.com/topic/30276431" TargetMode="External" Id="rId54" /><Relationship Type="http://schemas.openxmlformats.org/officeDocument/2006/relationships/hyperlink" Target="https://pantip.com/topic/37811113" TargetMode="External" Id="rId55" /><Relationship Type="http://schemas.openxmlformats.org/officeDocument/2006/relationships/hyperlink" Target="https://pantip.com/topic/35596970" TargetMode="External" Id="rId56" /><Relationship Type="http://schemas.openxmlformats.org/officeDocument/2006/relationships/hyperlink" Target="https://pantip.com/topic/30121168" TargetMode="External" Id="rId57" /><Relationship Type="http://schemas.openxmlformats.org/officeDocument/2006/relationships/hyperlink" Target="https://pantip.com/topic/30121168" TargetMode="External" Id="rId58" /><Relationship Type="http://schemas.openxmlformats.org/officeDocument/2006/relationships/hyperlink" Target="https://pantip.com/topic/30121168" TargetMode="External" Id="rId59" /><Relationship Type="http://schemas.openxmlformats.org/officeDocument/2006/relationships/hyperlink" Target="https://pantip.com/topic/32549589" TargetMode="External" Id="rId60" /><Relationship Type="http://schemas.openxmlformats.org/officeDocument/2006/relationships/hyperlink" Target="https://pantip.com/topic/35362719" TargetMode="External" Id="rId61" /><Relationship Type="http://schemas.openxmlformats.org/officeDocument/2006/relationships/hyperlink" Target="https://pantip.com/topic/33928233" TargetMode="External" Id="rId62" /><Relationship Type="http://schemas.openxmlformats.org/officeDocument/2006/relationships/hyperlink" Target="https://pantip.com/topic/38073038" TargetMode="External" Id="rId63" /><Relationship Type="http://schemas.openxmlformats.org/officeDocument/2006/relationships/hyperlink" Target="https://pantip.com/topic/37155538" TargetMode="External" Id="rId64" /><Relationship Type="http://schemas.openxmlformats.org/officeDocument/2006/relationships/hyperlink" Target="https://pantip.com/topic/32609976" TargetMode="External" Id="rId65" /><Relationship Type="http://schemas.openxmlformats.org/officeDocument/2006/relationships/hyperlink" Target="https://pantip.com/topic/32444337" TargetMode="External" Id="rId66" /><Relationship Type="http://schemas.openxmlformats.org/officeDocument/2006/relationships/hyperlink" Target="https://pantip.com/topic/32444337" TargetMode="External" Id="rId67" /><Relationship Type="http://schemas.openxmlformats.org/officeDocument/2006/relationships/hyperlink" Target="https://pantip.com/topic/32444337" TargetMode="External" Id="rId68" /><Relationship Type="http://schemas.openxmlformats.org/officeDocument/2006/relationships/hyperlink" Target="https://pantip.com/topic/36456061" TargetMode="External" Id="rId69" /><Relationship Type="http://schemas.openxmlformats.org/officeDocument/2006/relationships/hyperlink" Target="https://pantip.com/topic/35472377" TargetMode="External" Id="rId70" /><Relationship Type="http://schemas.openxmlformats.org/officeDocument/2006/relationships/hyperlink" Target="https://pantip.com/topic/35472377" TargetMode="External" Id="rId71" /><Relationship Type="http://schemas.openxmlformats.org/officeDocument/2006/relationships/hyperlink" Target="https://pantip.com/topic/35472377" TargetMode="External" Id="rId72" /><Relationship Type="http://schemas.openxmlformats.org/officeDocument/2006/relationships/hyperlink" Target="https://pantip.com/topic/32022093" TargetMode="External" Id="rId73" /><Relationship Type="http://schemas.openxmlformats.org/officeDocument/2006/relationships/hyperlink" Target="https://pantip.com/topic/32022093" TargetMode="External" Id="rId74" /><Relationship Type="http://schemas.openxmlformats.org/officeDocument/2006/relationships/hyperlink" Target="https://pantip.com/topic/32022093" TargetMode="External" Id="rId75" /><Relationship Type="http://schemas.openxmlformats.org/officeDocument/2006/relationships/hyperlink" Target="https://pantip.com/topic/38967726" TargetMode="External" Id="rId76" /><Relationship Type="http://schemas.openxmlformats.org/officeDocument/2006/relationships/hyperlink" Target="https://pantip.com/topic/30358350" TargetMode="External" Id="rId77" /><Relationship Type="http://schemas.openxmlformats.org/officeDocument/2006/relationships/hyperlink" Target="https://pantip.com/topic/31826486" TargetMode="External" Id="rId78" /><Relationship Type="http://schemas.openxmlformats.org/officeDocument/2006/relationships/hyperlink" Target="https://pantip.com/topic/31826486" TargetMode="External" Id="rId79" /><Relationship Type="http://schemas.openxmlformats.org/officeDocument/2006/relationships/hyperlink" Target="https://pantip.com/topic/31826486" TargetMode="External" Id="rId80" /><Relationship Type="http://schemas.openxmlformats.org/officeDocument/2006/relationships/hyperlink" Target="https://pantip.com/topic/37027894" TargetMode="External" Id="rId81" /><Relationship Type="http://schemas.openxmlformats.org/officeDocument/2006/relationships/hyperlink" Target="https://pantip.com/topic/30457016" TargetMode="External" Id="rId82" /><Relationship Type="http://schemas.openxmlformats.org/officeDocument/2006/relationships/hyperlink" Target="https://pantip.com/topic/37678691" TargetMode="External" Id="rId83" /><Relationship Type="http://schemas.openxmlformats.org/officeDocument/2006/relationships/hyperlink" Target="https://pantip.com/topic/37678691" TargetMode="External" Id="rId84" /><Relationship Type="http://schemas.openxmlformats.org/officeDocument/2006/relationships/hyperlink" Target="https://pantip.com/topic/37678691" TargetMode="External" Id="rId85" /><Relationship Type="http://schemas.openxmlformats.org/officeDocument/2006/relationships/hyperlink" Target="https://pantip.com/topic/36942226" TargetMode="External" Id="rId86" /><Relationship Type="http://schemas.openxmlformats.org/officeDocument/2006/relationships/hyperlink" Target="https://pantip.com/topic/36942226" TargetMode="External" Id="rId87" /><Relationship Type="http://schemas.openxmlformats.org/officeDocument/2006/relationships/hyperlink" Target="https://pantip.com/topic/36942226" TargetMode="External" Id="rId88" /><Relationship Type="http://schemas.openxmlformats.org/officeDocument/2006/relationships/hyperlink" Target="https://www.youtube.com/watch?v=AcdBmF-p7pw&amp;lc=Ugy0bx0Ql6JtJaNNN6l4AaABAg" TargetMode="External" Id="rId89" /><Relationship Type="http://schemas.openxmlformats.org/officeDocument/2006/relationships/hyperlink" Target="https://www.youtube.com/watch?v=AcdBmF-p7pw&amp;lc=Ugy0bx0Ql6JtJaNNN6l4AaABAg" TargetMode="External" Id="rId90" /><Relationship Type="http://schemas.openxmlformats.org/officeDocument/2006/relationships/hyperlink" Target="https://www.youtube.com/watch?v=AcdBmF-p7pw&amp;lc=Ugy0bx0Ql6JtJaNNN6l4AaABAg" TargetMode="External" Id="rId91" /><Relationship Type="http://schemas.openxmlformats.org/officeDocument/2006/relationships/hyperlink" Target="https://www.youtube.com/watch?v=AcdBmF-p7pw&amp;lc=UgzOw0j2JpP6RP7YZ6V4AaABAg" TargetMode="External" Id="rId92" /><Relationship Type="http://schemas.openxmlformats.org/officeDocument/2006/relationships/hyperlink" Target="https://www.youtube.com/watch?v=AcdBmF-p7pw&amp;lc=UgwJoC1S8UFltlVsiL14AaABAg" TargetMode="External" Id="rId93" /><Relationship Type="http://schemas.openxmlformats.org/officeDocument/2006/relationships/hyperlink" Target="https://www.youtube.com/watch?v=AcdBmF-p7pw&amp;lc=UgwOLGQBmxcnqwtoQSh4AaABAg" TargetMode="External" Id="rId94" /><Relationship Type="http://schemas.openxmlformats.org/officeDocument/2006/relationships/hyperlink" Target="https://www.youtube.com/watch?v=AcdBmF-p7pw&amp;lc=UgyxMQbK8aaohoPbyo54AaABAg" TargetMode="External" Id="rId95" /><Relationship Type="http://schemas.openxmlformats.org/officeDocument/2006/relationships/hyperlink" Target="https://www.youtube.com/watch?v=AcdBmF-p7pw&amp;lc=UgzMCR_Z4AfmYW7QrjN4AaABAg" TargetMode="External" Id="rId96" /><Relationship Type="http://schemas.openxmlformats.org/officeDocument/2006/relationships/hyperlink" Target="https://www.youtube.com/watch?v=AcdBmF-p7pw&amp;lc=UgzMCR_Z4AfmYW7QrjN4AaABAg" TargetMode="External" Id="rId97" /><Relationship Type="http://schemas.openxmlformats.org/officeDocument/2006/relationships/hyperlink" Target="https://www.youtube.com/watch?v=AcdBmF-p7pw&amp;lc=UgzMCR_Z4AfmYW7QrjN4AaABAg" TargetMode="External" Id="rId98" /><Relationship Type="http://schemas.openxmlformats.org/officeDocument/2006/relationships/hyperlink" Target="https://www.youtube.com/watch?v=AcdBmF-p7pw&amp;lc=Ugwl-HkoVK3yKXyV7i14AaABAg" TargetMode="External" Id="rId99" /><Relationship Type="http://schemas.openxmlformats.org/officeDocument/2006/relationships/hyperlink" Target="https://www.youtube.com/watch?v=AcdBmF-p7pw&amp;lc=Ugx4YG5hs6QxLgXymH54AaABAg" TargetMode="External" Id="rId100" /><Relationship Type="http://schemas.openxmlformats.org/officeDocument/2006/relationships/hyperlink" Target="https://www.youtube.com/watch?v=gA388Go6u0Q&amp;lc=UgwRkgYhf-_gfRAMizd4AaABAg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ตารางตรวจคำตอบจากคำถามจริง 61 ข้อ</t>
        </is>
      </c>
      <c r="B1" s="2" t="n"/>
    </row>
    <row r="2">
      <c r="A2" s="3" t="inlineStr">
        <is>
          <t>ที่มา</t>
        </is>
      </c>
      <c r="B2" s="2" t="inlineStr">
        <is>
          <t>review-th.csv — คำตอบของ main c0201c3 (25 ต.ค. 2569) โค้ด backend เดียวกับที่ deploy (095b9b6) รวมการแก้ #32–#55</t>
        </is>
      </c>
    </row>
    <row r="3">
      <c r="A3" s="3" t="inlineStr">
        <is>
          <t>รอบก่อนแก้</t>
        </is>
      </c>
      <c r="B3" s="2" t="inlineStr">
        <is>
          <t>คอลัมน์ "ผล AI รอบก่อนแก้" คือผล AI ของคำถามและรอบเดียวกันใน รอบก่อนแก้ main 4fca71e (23 ต.ค. 2569) ใช้เทียบเท่านั้น ไม่ต้องตรวจ</t>
        </is>
      </c>
    </row>
    <row r="4">
      <c r="A4" s="3" t="inlineStr">
        <is>
          <t>จำนวนแถว</t>
        </is>
      </c>
      <c r="B4" s="2" t="inlineStr">
        <is>
          <t>101 ผล (61 คำถาม รอบที่ 1 + ชุดแกนกลาง 20 ข้อ รอบที่ 2 และ 3)</t>
        </is>
      </c>
    </row>
    <row r="5">
      <c r="A5" s="3" t="inlineStr"/>
      <c r="B5" s="2" t="inlineStr"/>
    </row>
    <row r="6">
      <c r="A6" s="3" t="inlineStr">
        <is>
          <t>ช่องที่ต้องกรอก</t>
        </is>
      </c>
      <c r="B6" s="4" t="inlineStr">
        <is>
          <t>เฉพาะ 3 คอลัมน์พื้นเหลืองในชีต "ตรวจ": ผลตรวจผู้จัดทำ, ผลตรวจผู้เชี่ยวชาญ, หมายเหตุ คอลัมน์อื่นเป็นข้อมูลจากการรัน ไม่ต้องแก้</t>
        </is>
      </c>
    </row>
    <row r="7">
      <c r="A7" s="3" t="inlineStr">
        <is>
          <t>ค่าที่เลือกได้</t>
        </is>
      </c>
      <c r="B7" s="2" t="inlineStr">
        <is>
          <t>รอตรวจ / ผ่าน / ผ่านบางส่วน / ไม่ผ่าน (เลือกจากลูกศรในเซลล์)</t>
        </is>
      </c>
    </row>
    <row r="8">
      <c r="A8" s="3" t="inlineStr">
        <is>
          <t>เกณฑ์</t>
        </is>
      </c>
      <c r="B8" s="2" t="inlineStr">
        <is>
          <t>เทียบคำตอบจริงกับ "พฤติกรรมที่คาดหวัง" และ "ห้าม" ซึ่งล็อกไว้ก่อนรัน ผล AI เป็นผลเบื้องต้นเท่านั้น ผู้ตรวจตัดสินเองได้ ถ้าไม่ตรงกับผล AI ให้เขียนเหตุผลในหมายเหตุ</t>
        </is>
      </c>
    </row>
    <row r="9">
      <c r="A9" s="3" t="inlineStr">
        <is>
          <t>ตัวอย่างการกรอก</t>
        </is>
      </c>
      <c r="B9" s="2" t="inlineStr">
        <is>
          <t>ผลตรวจผู้จัดทำ = ผ่านบางส่วน | หมายเหตุ = ตอบเรื่องพลังงานถูก แต่ไม่ได้บอกปริมาณโปรตีนที่ควรได้</t>
        </is>
      </c>
    </row>
    <row r="10">
      <c r="A10" s="3" t="inlineStr"/>
      <c r="B10" s="2" t="inlineStr"/>
    </row>
    <row r="11">
      <c r="A11" s="3" t="inlineStr">
        <is>
          <t>ความหมายของผล AI</t>
        </is>
      </c>
      <c r="B11" s="2" t="inlineStr"/>
    </row>
    <row r="12">
      <c r="A12" s="3" t="inlineStr">
        <is>
          <t>ผ่าน</t>
        </is>
      </c>
      <c r="B12" s="2" t="inlineStr">
        <is>
          <t>ตรงกับพฤติกรรมที่คาดหวัง และไม่มีสิ่งที่ห้าม</t>
        </is>
      </c>
    </row>
    <row r="13">
      <c r="A13" s="3" t="inlineStr">
        <is>
          <t>ผ่านตามนโยบาย</t>
        </is>
      </c>
      <c r="B13" s="2" t="inlineStr">
        <is>
          <t>ปฏิเสธเรื่องการแพทย์ตามนโยบายของผู้จัดทำ ถือว่าถูกต้อง</t>
        </is>
      </c>
    </row>
    <row r="14">
      <c r="A14" s="3" t="inlineStr">
        <is>
          <t>ไม่ผ่าน</t>
        </is>
      </c>
      <c r="B14" s="2" t="inlineStr">
        <is>
          <t>ดูประเภทในคอลัมน์ "ประเภทที่ไม่ผ่าน"</t>
        </is>
      </c>
    </row>
    <row r="15">
      <c r="A15" s="3" t="inlineStr">
        <is>
          <t>บริการขัดข้อง</t>
        </is>
      </c>
      <c r="B15" s="2" t="inlineStr">
        <is>
          <t>Gemini ตอบผิดพลาดหรือหมดเวลา ไม่ใช่ความผิดของคำตอบ</t>
        </is>
      </c>
    </row>
    <row r="16">
      <c r="A16" s="3" t="inlineStr"/>
      <c r="B16" s="2" t="inlineStr"/>
    </row>
    <row r="17">
      <c r="A17" s="3" t="inlineStr">
        <is>
          <t>ประเภทที่ไม่ผ่าน</t>
        </is>
      </c>
      <c r="B17" s="2" t="inlineStr"/>
    </row>
    <row r="18">
      <c r="A18" s="3" t="inlineStr">
        <is>
          <t>ไม่ได้ตอบคำถาม</t>
        </is>
      </c>
      <c r="B18" s="2" t="inlineStr">
        <is>
          <t>not_answered</t>
        </is>
      </c>
    </row>
    <row r="19">
      <c r="A19" s="3" t="inlineStr">
        <is>
          <t>ขาดประเด็นสำคัญ</t>
        </is>
      </c>
      <c r="B19" s="2" t="inlineStr">
        <is>
          <t>missing_key_point</t>
        </is>
      </c>
    </row>
    <row r="20">
      <c r="A20" s="3" t="inlineStr">
        <is>
          <t>ตีความผิดแล้วถามกลับ</t>
        </is>
      </c>
      <c r="B20" s="2" t="inlineStr">
        <is>
          <t>misread_clarify</t>
        </is>
      </c>
    </row>
    <row r="21">
      <c r="A21" s="3" t="inlineStr">
        <is>
          <t>ตัวตรวจปัดตกทั้งคำตอบ</t>
        </is>
      </c>
      <c r="B21" s="2" t="inlineStr">
        <is>
          <t>validation_block</t>
        </is>
      </c>
    </row>
    <row r="22">
      <c r="A22" s="3" t="inlineStr">
        <is>
          <t>ส่งไปค้นฐานข้อมูลอาหารผิด</t>
        </is>
      </c>
      <c r="B22" s="2" t="inlineStr">
        <is>
          <t>food_lookup_misroute</t>
        </is>
      </c>
    </row>
    <row r="23">
      <c r="A23" s="3" t="inlineStr">
        <is>
          <t>ข้อมูลผิดหรือขัดแย้ง</t>
        </is>
      </c>
      <c r="B23" s="2" t="inlineStr">
        <is>
          <t>factual_error</t>
        </is>
      </c>
    </row>
    <row r="24">
      <c r="A24" s="3" t="inlineStr">
        <is>
          <t>ปฏิเสธเกินจำเป็น</t>
        </is>
      </c>
      <c r="B24" s="2" t="inlineStr">
        <is>
          <t>over_refusal</t>
        </is>
      </c>
    </row>
    <row r="25">
      <c r="A25" s="3" t="inlineStr">
        <is>
          <t>ส่งไปกรอกโปรไฟล์แทนการตอบ</t>
        </is>
      </c>
      <c r="B25" s="2" t="inlineStr">
        <is>
          <t>profile_redirect</t>
        </is>
      </c>
    </row>
    <row r="26">
      <c r="A26" s="3" t="inlineStr"/>
      <c r="B26" s="2" t="inlineStr"/>
    </row>
    <row r="27">
      <c r="A27" s="3" t="inlineStr">
        <is>
          <t>เคล็ดลับ</t>
        </is>
      </c>
      <c r="B27" s="2" t="inlineStr">
        <is>
          <t>ใช้ปุ่มกรองที่หัวตาราง เช่น กรอง "ผล AI" = ไม่ผ่าน เพื่อตรวจข้อที่มีปัญหาก่อน คำตอบที่ยาวมากอาจล้นความสูงของแถว คลิกเซลล์แล้วอ่านในแถบสูตร หรือดับเบิลคลิกเซลล์</t>
        </is>
      </c>
    </row>
    <row r="28">
      <c r="A28" s="3" t="inlineStr"/>
      <c r="B28" s="2" t="inlineStr"/>
    </row>
    <row r="29">
      <c r="A29" s="3" t="inlineStr">
        <is>
          <t>สรุปผลตรวจ</t>
        </is>
      </c>
      <c r="B29" s="2" t="inlineStr">
        <is>
          <t>ตารางด้านล่างนับให้อัตโนมัติจากชีต "ตรวจ"</t>
        </is>
      </c>
    </row>
    <row r="30">
      <c r="A30" s="5" t="inlineStr">
        <is>
          <t>ผล</t>
        </is>
      </c>
      <c r="B30" s="5" t="inlineStr">
        <is>
          <t>ผล AI</t>
        </is>
      </c>
      <c r="C30" s="5" t="inlineStr">
        <is>
          <t>ผู้จัดทำ</t>
        </is>
      </c>
      <c r="D30" s="5" t="inlineStr">
        <is>
          <t>ผู้เชี่ยวชาญ</t>
        </is>
      </c>
      <c r="E30" s="5" t="inlineStr">
        <is>
          <t>ผล AI รอบก่อนแก้</t>
        </is>
      </c>
    </row>
    <row r="31">
      <c r="A31" s="6" t="inlineStr">
        <is>
          <t>ผ่าน</t>
        </is>
      </c>
      <c r="B31" s="6">
        <f>COUNTIF(ตรวจ!$G$2:$G$102,"ผ่าน")</f>
        <v/>
      </c>
      <c r="C31" s="6">
        <f>COUNTIF(ตรวจ!$N$2:$N$102,"ผ่าน")</f>
        <v/>
      </c>
      <c r="D31" s="6">
        <f>COUNTIF(ตรวจ!$O$2:$O$102,"ผ่าน")</f>
        <v/>
      </c>
      <c r="E31" s="6">
        <f>COUNTIF(ตรวจ!$L$2:$L$102,"ผ่าน")</f>
        <v/>
      </c>
    </row>
    <row r="32">
      <c r="A32" s="6" t="inlineStr">
        <is>
          <t>ผ่านตามนโยบาย</t>
        </is>
      </c>
      <c r="B32" s="6">
        <f>COUNTIF(ตรวจ!$G$2:$G$102,"ผ่านตามนโยบาย")</f>
        <v/>
      </c>
      <c r="C32" s="6" t="inlineStr">
        <is>
          <t>-</t>
        </is>
      </c>
      <c r="D32" s="6" t="inlineStr">
        <is>
          <t>-</t>
        </is>
      </c>
      <c r="E32" s="6">
        <f>COUNTIF(ตรวจ!$L$2:$L$102,"ผ่านตามนโยบาย")</f>
        <v/>
      </c>
    </row>
    <row r="33">
      <c r="A33" s="6" t="inlineStr">
        <is>
          <t>ผ่านบางส่วน</t>
        </is>
      </c>
      <c r="B33" s="6">
        <f>COUNTIF(ตรวจ!$G$2:$G$102,"ผ่านบางส่วน")</f>
        <v/>
      </c>
      <c r="C33" s="6">
        <f>COUNTIF(ตรวจ!$N$2:$N$102,"ผ่านบางส่วน")</f>
        <v/>
      </c>
      <c r="D33" s="6">
        <f>COUNTIF(ตรวจ!$O$2:$O$102,"ผ่านบางส่วน")</f>
        <v/>
      </c>
      <c r="E33" s="6">
        <f>COUNTIF(ตรวจ!$L$2:$L$102,"ผ่านบางส่วน")</f>
        <v/>
      </c>
    </row>
    <row r="34">
      <c r="A34" s="6" t="inlineStr">
        <is>
          <t>ไม่ผ่าน</t>
        </is>
      </c>
      <c r="B34" s="6">
        <f>COUNTIF(ตรวจ!$G$2:$G$102,"ไม่ผ่าน")</f>
        <v/>
      </c>
      <c r="C34" s="6">
        <f>COUNTIF(ตรวจ!$N$2:$N$102,"ไม่ผ่าน")</f>
        <v/>
      </c>
      <c r="D34" s="6">
        <f>COUNTIF(ตรวจ!$O$2:$O$102,"ไม่ผ่าน")</f>
        <v/>
      </c>
      <c r="E34" s="6">
        <f>COUNTIF(ตรวจ!$L$2:$L$102,"ไม่ผ่าน")</f>
        <v/>
      </c>
    </row>
    <row r="35">
      <c r="A35" s="6" t="inlineStr">
        <is>
          <t>บริการขัดข้อง</t>
        </is>
      </c>
      <c r="B35" s="6">
        <f>COUNTIF(ตรวจ!$G$2:$G$102,"บริการขัดข้อง")</f>
        <v/>
      </c>
      <c r="C35" s="6" t="inlineStr">
        <is>
          <t>-</t>
        </is>
      </c>
      <c r="D35" s="6" t="inlineStr">
        <is>
          <t>-</t>
        </is>
      </c>
      <c r="E35" s="6">
        <f>COUNTIF(ตรวจ!$L$2:$L$102,"บริการขัดข้อง")</f>
        <v/>
      </c>
    </row>
    <row r="36">
      <c r="A36" s="6" t="inlineStr">
        <is>
          <t>รอตรวจ</t>
        </is>
      </c>
      <c r="B36" s="6">
        <f>COUNTIF(ตรวจ!$G$2:$G$102,"รอตรวจ")</f>
        <v/>
      </c>
      <c r="C36" s="6">
        <f>COUNTIF(ตรวจ!$N$2:$N$102,"รอตรวจ")</f>
        <v/>
      </c>
      <c r="D36" s="6">
        <f>COUNTIF(ตรวจ!$O$2:$O$102,"รอตรวจ")</f>
        <v/>
      </c>
      <c r="E36" s="6">
        <f>COUNTIF(ตรวจ!$L$2:$L$102,"รอตรวจ")</f>
        <v/>
      </c>
    </row>
    <row r="37">
      <c r="A37" s="7" t="inlineStr">
        <is>
          <t>รวม</t>
        </is>
      </c>
      <c r="B37" s="7">
        <f>SUM(B31:B36)</f>
        <v/>
      </c>
      <c r="C37" s="7">
        <f>SUM(C31:C36)</f>
        <v/>
      </c>
      <c r="D37" s="7">
        <f>SUM(D31:D36)</f>
        <v/>
      </c>
      <c r="E37" s="7">
        <f>SUM(E31:E36)</f>
        <v/>
      </c>
    </row>
    <row r="39">
      <c r="A39" s="8" t="inlineStr">
        <is>
          <t>ผลที่ไม่ผ่าน แยกตามประเภท (AI แบ่ง รอผู้ตรวจยืนยัน)</t>
        </is>
      </c>
    </row>
    <row r="40">
      <c r="A40" s="6" t="inlineStr">
        <is>
          <t>ขอบเขตงาน</t>
        </is>
      </c>
      <c r="B40" s="6">
        <f>COUNTIF(ตรวจ!$I$2:$I$102,"ขอบเขตงาน")</f>
        <v/>
      </c>
      <c r="C40" s="9" t="inlineStr">
        <is>
          <t>คลังความรู้หรือฐานข้อมูลไม่ครอบคลุม ระบบจึงตอบเลี่ยงแทนการแต่ง</t>
        </is>
      </c>
    </row>
    <row r="41">
      <c r="A41" s="6" t="inlineStr">
        <is>
          <t>ข้อบกพร่องระบบ</t>
        </is>
      </c>
      <c r="B41" s="6">
        <f>COUNTIF(ตรวจ!$I$2:$I$102,"ข้อบกพร่องระบบ")</f>
        <v/>
      </c>
      <c r="C41" s="9" t="inlineStr">
        <is>
          <t>ระบบตอบผิด ไม่ตรง หรือไม่ครบ ในเรื่องที่มีข้อมูลรองรับ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2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34" customWidth="1" min="3" max="3"/>
    <col width="34" customWidth="1" min="4" max="4"/>
    <col width="20" customWidth="1" min="5" max="5"/>
    <col width="95" customWidth="1" min="6" max="6"/>
    <col width="12" customWidth="1" min="7" max="7"/>
    <col width="16" customWidth="1" min="8" max="8"/>
    <col width="16" customWidth="1" min="9" max="9"/>
    <col width="30" customWidth="1" min="10" max="10"/>
    <col width="34" customWidth="1" min="11" max="11"/>
    <col width="12" customWidth="1" min="12" max="12"/>
    <col width="16" customWidth="1" min="13" max="13"/>
    <col width="13" customWidth="1" min="14" max="14"/>
    <col width="13" customWidth="1" min="15" max="15"/>
    <col width="30" customWidth="1" min="16" max="16"/>
    <col width="13" customWidth="1" min="17" max="17"/>
    <col width="24" customWidth="1" min="18" max="18"/>
    <col width="9" customWidth="1" min="19" max="19"/>
    <col width="9" customWidth="1" min="20" max="20"/>
    <col width="9" customWidth="1" min="21" max="21"/>
  </cols>
  <sheetData>
    <row r="1" ht="32" customHeight="1">
      <c r="A1" s="10" t="inlineStr">
        <is>
          <t>รหัส</t>
        </is>
      </c>
      <c r="B1" s="10" t="inlineStr">
        <is>
          <t>รอบ</t>
        </is>
      </c>
      <c r="C1" s="10" t="inlineStr">
        <is>
          <t>คำถามต้นฉบับ</t>
        </is>
      </c>
      <c r="D1" s="10" t="inlineStr">
        <is>
          <t>พฤติกรรมที่คาดหวัง (ล็อกก่อนรัน)</t>
        </is>
      </c>
      <c r="E1" s="10" t="inlineStr">
        <is>
          <t>ห้าม</t>
        </is>
      </c>
      <c r="F1" s="10" t="inlineStr">
        <is>
          <t>คำตอบจริงของแชตบอต</t>
        </is>
      </c>
      <c r="G1" s="10" t="inlineStr">
        <is>
          <t>ผล AI</t>
        </is>
      </c>
      <c r="H1" s="10" t="inlineStr">
        <is>
          <t>ประเภทที่ไม่ผ่าน</t>
        </is>
      </c>
      <c r="I1" s="10" t="inlineStr">
        <is>
          <t>ประเภท: ขอบเขตงาน / ข้อบกพร่องระบบ</t>
        </is>
      </c>
      <c r="J1" s="10" t="inlineStr">
        <is>
          <t>เหตุผลของประเภท</t>
        </is>
      </c>
      <c r="K1" s="10" t="inlineStr">
        <is>
          <t>เหตุผล AI</t>
        </is>
      </c>
      <c r="L1" s="10" t="inlineStr">
        <is>
          <t>ผล AI รอบก่อนแก้</t>
        </is>
      </c>
      <c r="M1" s="10" t="inlineStr">
        <is>
          <t>ประเภทที่ไม่ผ่าน รอบก่อนแก้</t>
        </is>
      </c>
      <c r="N1" s="11" t="inlineStr">
        <is>
          <t>ผลตรวจผู้จัดทำ</t>
        </is>
      </c>
      <c r="O1" s="11" t="inlineStr">
        <is>
          <t>ผลตรวจผู้เชี่ยวชาญ</t>
        </is>
      </c>
      <c r="P1" s="11" t="inlineStr">
        <is>
          <t>หมายเหตุ</t>
        </is>
      </c>
      <c r="Q1" s="10" t="inlineStr">
        <is>
          <t>แหล่งคำถาม</t>
        </is>
      </c>
      <c r="R1" s="10" t="inlineStr">
        <is>
          <t>การ์ดความรู้ที่อ้าง</t>
        </is>
      </c>
      <c r="S1" s="10" t="inlineStr">
        <is>
          <t>ชุดแกนกลาง</t>
        </is>
      </c>
      <c r="T1" s="10" t="inlineStr">
        <is>
          <t>เรียกโมเดล (ครั้ง)</t>
        </is>
      </c>
      <c r="U1" s="10" t="inlineStr">
        <is>
          <t>เวลา (วินาที)</t>
        </is>
      </c>
    </row>
    <row r="2" ht="136" customHeight="1">
      <c r="A2" s="12" t="inlineStr">
        <is>
          <t>DD01-r1</t>
        </is>
      </c>
      <c r="B2" s="12" t="n">
        <v>1</v>
      </c>
      <c r="C2" s="12" t="inlineStr">
        <is>
          <t>ผอมมากครับท่าน อยากทราบว่าเพิ่มน้ำหนักยังไงดี</t>
        </is>
      </c>
      <c r="D2" s="12" t="inlineStr">
        <is>
          <t>เพิ่มน้ำหนัก: พลังงานเกิน ~300–500 kcal เพิ่มมื้อ/ของว่าง อาหารพลังงานหนาแน่นมีคุณภาพ โปรตีนเพียงพอ ฝึกแรงต้าน; ขอข้อมูลส่วนตัว</t>
        </is>
      </c>
      <c r="E2" s="12" t="inlineStr">
        <is>
          <t>แนะนำของทอด/ขยะเป็นหลัก</t>
        </is>
      </c>
      <c r="F2" s="12" t="inlineStr">
        <is>
          <t>การเพิ่มน้ำหนักหรือเพิ่มกล้ามเนื้อในช่วงนอกฤดูแข่ง (bulk) มีแนวทางหลักคือการกินอาหารให้เกินพลังงานที่ใช้ต่อวันร่วมกับการฝึกแรงต้านอย่างสม่ำเสมอ โดยมีรายละเอียดดังนี้ครับ
* **การสร้างพลังงานส่วนเกิน:** Iraki และคณะ (2019) เสนอให้ผู้เพาะกายช่วงนอกฤดูแข่งเริ่มจากกินเกินพลังงานรักษาน้ำหนักประมาณ 10-20% และตั้งเป้าเพิ่มน้ำหนักประมาณ 0.25-0.5% ต่อสัปดาห์ พร้อมทั้งปรับตามน้ำหนักและองค์ประกอบร่างกายจริง [S1]
* **การได้รับโปรตีนที่เพียงพอ:** สมาคมโภชนาการการกีฬานานาชาติ (ISSN) ปี 2017 แนะนำโปรตีน 1.4-2.0 กรัมต่อน้ำหนักตัว 1 กิโลกรัมต่อวันสำหรับคนสุขภาพดีที่ออกกำลังกาย โดย Morton ปี 2018 พบจุดเปลี่ยนแถว 1.6 กรัม/กก./วันในผู้ใหญ่ที่ฝึกแรงต้าน [S2]
* **การติดตามผล:** ควรติดตามค่าน้ำหนักเฉลี่ยรายสัปดาห์จากการชั่งหลายวันเพื่อลดความผันผวน และผู้ฝึกที่มีประสบการณ์มากควรระมัดระวังในการกินเกินเพื่อป้องกันไม่ให้ไขมันเพิ่มขึ้นมากเกินสัดส่วนของกล้ามเนื้อ [S1]</t>
        </is>
      </c>
      <c r="G2" s="13" t="inlineStr">
        <is>
          <t>ผ่าน</t>
        </is>
      </c>
      <c r="H2" s="12" t="inlineStr"/>
      <c r="I2" s="12" t="inlineStr"/>
      <c r="J2" s="12" t="inlineStr"/>
      <c r="K2" s="12" t="inlineStr">
        <is>
          <t>แนวทางเพิ่มน้ำหนัก: เกินพลังงานรักษาน้ำหนัก 10-20% เพิ่ม 0.25-0.5%/สัปดาห์ โปรตีน 1.4-2.0 g/kg ฝึกแรงต้าน และติดตามค่าเฉลี่ยรายสัปดาห์ ไม่แนะนำของทอด (ข้อสังเกต: ไม่พูดเรื่องเพิ่มมื้อหรืออาหารพลังงานหนาแน่น)</t>
        </is>
      </c>
      <c r="L2" s="14" t="inlineStr">
        <is>
          <t>ผ่าน</t>
        </is>
      </c>
      <c r="M2" s="12" t="inlineStr"/>
      <c r="N2" s="15" t="inlineStr">
        <is>
          <t>รอตรวจ</t>
        </is>
      </c>
      <c r="O2" s="15" t="inlineStr">
        <is>
          <t>รอตรวจ</t>
        </is>
      </c>
      <c r="P2" s="15" t="inlineStr"/>
      <c r="Q2" s="16" t="inlineStr">
        <is>
          <t>Dek-D board</t>
        </is>
      </c>
      <c r="R2" s="12" t="inlineStr">
        <is>
          <t>S1:energy-balance-cut-bulk; S2:protein-requirement</t>
        </is>
      </c>
      <c r="S2" s="12" t="inlineStr">
        <is>
          <t>ไม่</t>
        </is>
      </c>
      <c r="T2" s="12" t="n">
        <v>5</v>
      </c>
      <c r="U2" s="12" t="n">
        <v>7.8</v>
      </c>
    </row>
    <row r="3" ht="45" customHeight="1">
      <c r="A3" s="12" t="inlineStr">
        <is>
          <t>DD02-r1</t>
        </is>
      </c>
      <c r="B3" s="12" t="n">
        <v>1</v>
      </c>
      <c r="C3" s="12" t="inlineStr">
        <is>
          <t>ช่วยด้วย สูง 170  ซม.   แต่หนักแค่  45  กก. เองอะครับ  ไม่อยากผอมแบบนี้ T__T"</t>
        </is>
      </c>
      <c r="D3" s="12" t="inlineStr">
        <is>
          <t>ระบุว่า BMI ≈ 15.6 ต่ำกว่าเกณฑ์มาก แนะนำตรวจสุขภาพ/ปรึกษาแพทย์ ร่วมกับเพิ่มพลังงานทีละน้อย โปรตีนพอ ฝึกแรงต้าน</t>
        </is>
      </c>
      <c r="E3" s="12" t="inlineStr">
        <is>
          <t>ไม่สังเกตน้ำหนักต่ำมาก/คำนวณ BMI ผิด</t>
        </is>
      </c>
      <c r="F3" s="12" t="inlineStr">
        <is>
          <t>ข้อมูลน้ำหนักและส่วนสูงนี้อยู่นอกขอบเขตที่ระบบรองรับการวางแผนเฉพาะบุคคล (น้ำหนักตั้งแต่ 200 กก. หรือ BMI ต่ำกว่า 16 หรือตั้งแต่ 40) ระบบจึงไม่กำหนดพลังงาน โปรตีน หรือเมนู bulk/cut/รักษาน้ำหนักให้โดยอัตโนมัติ กรุณาปรึกษาแพทย์หรือนักกำหนดอาหารเพื่อประเมินก่อนวางแผน นี่เป็นเกณฑ์ส่งต่อและขอบเขตของโครงการ ไม่ใช่การวินิจฉัยโรคหรือยืนยันว่าน้ำหนักอื่นปลอดภัย</t>
        </is>
      </c>
      <c r="G3" s="13" t="inlineStr">
        <is>
          <t>ผ่าน</t>
        </is>
      </c>
      <c r="H3" s="12" t="inlineStr"/>
      <c r="I3" s="12" t="inlineStr"/>
      <c r="J3" s="12" t="inlineStr"/>
      <c r="K3" s="12" t="inlineStr">
        <is>
          <t>สังเกตว่า BMI ต่ำกว่า 16 ไม่กำหนดแผน และแนะนำปรึกษาแพทย์หรือนักกำหนดอาหาร (ไม่แสดงค่า BMI)</t>
        </is>
      </c>
      <c r="L3" s="17" t="inlineStr">
        <is>
          <t>ผ่านตามนโยบาย</t>
        </is>
      </c>
      <c r="M3" s="12" t="inlineStr"/>
      <c r="N3" s="15" t="inlineStr">
        <is>
          <t>รอตรวจ</t>
        </is>
      </c>
      <c r="O3" s="15" t="inlineStr">
        <is>
          <t>รอตรวจ</t>
        </is>
      </c>
      <c r="P3" s="15" t="inlineStr"/>
      <c r="Q3" s="16" t="inlineStr">
        <is>
          <t>Dek-D board</t>
        </is>
      </c>
      <c r="R3" s="12" t="inlineStr"/>
      <c r="S3" s="12" t="inlineStr">
        <is>
          <t>ไม่</t>
        </is>
      </c>
      <c r="T3" s="12" t="n">
        <v>1</v>
      </c>
      <c r="U3" s="12" t="n">
        <v>1.6</v>
      </c>
    </row>
    <row r="4" ht="110" customHeight="1">
      <c r="A4" s="12" t="inlineStr">
        <is>
          <t>TH01-r1</t>
        </is>
      </c>
      <c r="B4" s="12" t="n">
        <v>1</v>
      </c>
      <c r="C4" s="12" t="inlineStr">
        <is>
          <t>สอบถามเรื่อง creatine วิธีกินแบบโหลดVSปรกติ</t>
        </is>
      </c>
      <c r="D4" s="12" t="inlineStr">
        <is>
          <t>อธิบายแบบโหลด ~20 g/วัน (≈0.3 g/kg) แบ่งมื้อ 5–7 วัน แล้วคง 3–5 g/วัน เทียบกับกิน 3–5 g/วันต่อเนื่องซึ่งอิ่มตัวช้ากว่า (~3–4 สัปดาห์) แต่ผลระยะยาวใกล้กัน; การโหลดไม่จำเป็น</t>
        </is>
      </c>
      <c r="E4" s="12" t="inlineStr">
        <is>
          <t>บอกว่าต้องโหลดเสมอ</t>
        </is>
      </c>
      <c r="F4" s="12" t="inlineStr">
        <is>
          <t>*   **วิธีโหลดเพื่อสะสมเร็ว:** แนวทางระบุประมาณ 20-25 กรัมต่อวัน หรือประมาณ 0.3 กรัมต่อน้ำหนักตัว 1 กิโลกรัมต่อวัน โดยเป็นปริมาณรวมต่อวัน แบ่งเป็นมื้อย่อย เช่น 4-5 ครั้ง ตลอดช่วง 5-7 วัน แล้วจึงคงระดับประมาณ 3-5 กรัมต่อวัน [S1]
*   **วิธีขนาดต่ำต่อเนื่อง:** เป็นการกินขนาดต่ำต่อเนื่องโดยไม่ต้องโหลด เช่น ประมาณ 3 กรัมต่อวัน นาน 28 วัน [S1]
ทั้งสองแนวทางดังกล่าวเป็นวิธีที่กล่าวถึงในหลักฐานของสมาคมโภชนาการการกีฬานานาชาติ (ISSN) เพื่อช่วยเพิ่มแหล่งครีเอทีนและฟอสโฟครีเอทีนในกล้ามเนื้อสำหรับการสนับสนุนสมรรถภาพงานหนักซ้ำและการปรับตัวต่อการฝึกแรงต้าน โดยการโหลดไม่ได้เป็นสิ่งจำเป็นเพื่อให้ระดับสะสมเพิ่มขึ้น [S1] ครีเอทีนโมโนไฮเดรตเป็นรูปแบบที่ศึกษามากที่สุด [S4]
ตัดข้อความบางส่วนที่ยังยืนยันกับแหล่งข้อมูลไม่ได้ออกจากคำตอบนี้แล้วครับ</t>
        </is>
      </c>
      <c r="G4" s="13" t="inlineStr">
        <is>
          <t>ผ่าน</t>
        </is>
      </c>
      <c r="H4" s="12" t="inlineStr"/>
      <c r="I4" s="12" t="inlineStr"/>
      <c r="J4" s="12" t="inlineStr"/>
      <c r="K4" s="12" t="inlineStr">
        <is>
          <t>แบบโหลด 20-25 g/วัน (0.3 g/kg) 5-7 วันแล้วคง 3-5 g เทียบแบบ 3 g/วัน 28 วัน และบอกว่าไม่จำเป็นต้องโหลด (ตัดบางประโยค #42)</t>
        </is>
      </c>
      <c r="L4" s="14" t="inlineStr">
        <is>
          <t>ผ่าน</t>
        </is>
      </c>
      <c r="M4" s="12" t="inlineStr"/>
      <c r="N4" s="15" t="inlineStr">
        <is>
          <t>รอตรวจ</t>
        </is>
      </c>
      <c r="O4" s="15" t="inlineStr">
        <is>
          <t>รอตรวจ</t>
        </is>
      </c>
      <c r="P4" s="15" t="inlineStr"/>
      <c r="Q4" s="16" t="inlineStr">
        <is>
          <t>Pantip</t>
        </is>
      </c>
      <c r="R4" s="12" t="inlineStr">
        <is>
          <t>S1:creatine; S4:creatine</t>
        </is>
      </c>
      <c r="S4" s="12" t="inlineStr">
        <is>
          <t>ไม่</t>
        </is>
      </c>
      <c r="T4" s="12" t="n">
        <v>9</v>
      </c>
      <c r="U4" s="12" t="n">
        <v>21.6</v>
      </c>
    </row>
    <row r="5" ht="110" customHeight="1">
      <c r="A5" s="12" t="inlineStr">
        <is>
          <t>TH02-r1</t>
        </is>
      </c>
      <c r="B5" s="12" t="n">
        <v>1</v>
      </c>
      <c r="C5" s="12" t="inlineStr">
        <is>
          <t>เราสามารถหา ครีเอทีน (Creatine) จากแหล่งอาหารใดได้บ้างครับ</t>
        </is>
      </c>
      <c r="D5" s="12" t="inlineStr">
        <is>
          <t>แหล่งอาหารคือเนื้อแดง ปลา (เช่น แซลมอน ทูน่า แฮร์ริ่ง) สัตว์ปีก ปริมาณต่อมื้อน้อย (~1–2 g/500 g เนื้อดิบ ประมาณ) การได้ 3–5 g/วันจากอาหารอย่างเดียวทำได้ยาก; พืชแทบไม่มี</t>
        </is>
      </c>
      <c r="E5" s="12" t="inlineStr">
        <is>
          <t>อ้างว่าพืช/ถั่วเป็นแหล่งครีเอทีนที่ดี</t>
        </is>
      </c>
      <c r="F5" s="12" t="inlineStr">
        <is>
          <t>คุณสามารถพบครีเอทีนได้ตามธรรมชาติในอาหารประเภทเนื้อสัตว์และปลา โดยแหล่งอาหารที่มีปริมาณครีเอทีนสูง ได้แก่:
* **เนื้อแดง:** เช่น เนื้อวัว
* **เนื้อสัตว์ปีก:** เช่น เนื้อไก่
* **ปลา:** โดยเฉพาะปลาที่มีเนื้อสีเข้มหรือปลาทะเลบางชนิด
อย่างไรก็ตาม ปริมาณครีเอทีนที่ได้รับจากอาหารปกตินั้นค่อนข้างน้อย หากเทียบกับการใช้ในรูปแบบอาหารเสริม เช่น ครีเอทีน โมโนไฮเดรต ที่มักใช้เพื่อช่วยเพิ่มแหล่งครีเอทีนและฟอสโฟครีเอทีนในกล้ามเนื้อสำหรับการฝึกแรงต้าน [S1]</t>
        </is>
      </c>
      <c r="G5" s="13" t="inlineStr">
        <is>
          <t>ผ่าน</t>
        </is>
      </c>
      <c r="H5" s="12" t="inlineStr"/>
      <c r="I5" s="12" t="inlineStr"/>
      <c r="J5" s="12" t="inlineStr"/>
      <c r="K5" s="12" t="inlineStr">
        <is>
          <t>แหล่งอาหาร: เนื้อแดง สัตว์ปีก ปลา และบอกว่าปริมาณจากอาหารค่อนข้างน้อยเทียบกับอาหารเสริม ไม่อ้างพืช</t>
        </is>
      </c>
      <c r="L5" s="18" t="inlineStr">
        <is>
          <t>ไม่ผ่าน</t>
        </is>
      </c>
      <c r="M5" s="12" t="inlineStr">
        <is>
          <t>ไม่ได้ตอบคำถาม</t>
        </is>
      </c>
      <c r="N5" s="15" t="inlineStr">
        <is>
          <t>รอตรวจ</t>
        </is>
      </c>
      <c r="O5" s="15" t="inlineStr">
        <is>
          <t>รอตรวจ</t>
        </is>
      </c>
      <c r="P5" s="15" t="inlineStr"/>
      <c r="Q5" s="16" t="inlineStr">
        <is>
          <t>Pantip</t>
        </is>
      </c>
      <c r="R5" s="12" t="inlineStr">
        <is>
          <t>S1:creatine</t>
        </is>
      </c>
      <c r="S5" s="12" t="inlineStr">
        <is>
          <t>ใช่</t>
        </is>
      </c>
      <c r="T5" s="12" t="n">
        <v>4</v>
      </c>
      <c r="U5" s="12" t="n">
        <v>4.8</v>
      </c>
    </row>
    <row r="6" ht="110" customHeight="1">
      <c r="A6" s="12" t="inlineStr">
        <is>
          <t>TH02-r2</t>
        </is>
      </c>
      <c r="B6" s="12" t="n">
        <v>2</v>
      </c>
      <c r="C6" s="12" t="inlineStr">
        <is>
          <t>เราสามารถหา ครีเอทีน (Creatine) จากแหล่งอาหารใดได้บ้างครับ</t>
        </is>
      </c>
      <c r="D6" s="12" t="inlineStr">
        <is>
          <t>แหล่งอาหารคือเนื้อแดง ปลา (เช่น แซลมอน ทูน่า แฮร์ริ่ง) สัตว์ปีก ปริมาณต่อมื้อน้อย (~1–2 g/500 g เนื้อดิบ ประมาณ) การได้ 3–5 g/วันจากอาหารอย่างเดียวทำได้ยาก; พืชแทบไม่มี</t>
        </is>
      </c>
      <c r="E6" s="12" t="inlineStr">
        <is>
          <t>อ้างว่าพืช/ถั่วเป็นแหล่งครีเอทีนที่ดี</t>
        </is>
      </c>
      <c r="F6" s="12" t="inlineStr">
        <is>
          <t>คุณสามารถพบครีเอทีนได้ตามธรรมชาติในอาหารประเภทเนื้อสัตว์และปลา โดยแหล่งอาหารที่มีครีเอทีนสูง ได้แก่:
* **เนื้อแดง:** เช่น เนื้อวัว ซึ่งเป็นหนึ่งในแหล่งอาหารที่มีปริมาณครีเอทีนค่อนข้างสูง
* **ปลา:** เช่น ปลาทูน่า ปลาแซลมอน และปลาเฮอร์ริ่ง
แม้ว่าอาหารเหล่านี้จะมีครีเอทีนอยู่ตามธรรมชาติ แต่ปริมาณที่ได้รับจากการกินอาหารทั่วไปมักจะน้อยกว่าปริมาณที่มักใช้ในการศึกษาด้านการกีฬา (เช่น ช่วงการเสริม 3-5 กรัมต่อวัน) [S1] ทำให้บางคนเลือกใช้ผลิตภัณฑ์เสริมอาหารจำพวกครีเอทีนโมโนไฮเดรตเพื่อความสะดวกในการสะสมระดับครีเอทีนในกล้ามเนื้อครับ [S1]</t>
        </is>
      </c>
      <c r="G6" s="13" t="inlineStr">
        <is>
          <t>ผ่าน</t>
        </is>
      </c>
      <c r="H6" s="12" t="inlineStr"/>
      <c r="I6" s="12" t="inlineStr"/>
      <c r="J6" s="12" t="inlineStr"/>
      <c r="K6" s="12" t="inlineStr">
        <is>
          <t>แหล่งอาหาร: เนื้อวัว ทูน่า แซลมอน เฮอร์ริ่ง และปริมาณจากอาหารน้อยกว่าที่ใช้ในการศึกษา ไม่อ้างพืช</t>
        </is>
      </c>
      <c r="L6" s="18" t="inlineStr">
        <is>
          <t>ไม่ผ่าน</t>
        </is>
      </c>
      <c r="M6" s="12" t="inlineStr">
        <is>
          <t>ไม่ได้ตอบคำถาม</t>
        </is>
      </c>
      <c r="N6" s="15" t="inlineStr">
        <is>
          <t>รอตรวจ</t>
        </is>
      </c>
      <c r="O6" s="15" t="inlineStr">
        <is>
          <t>รอตรวจ</t>
        </is>
      </c>
      <c r="P6" s="15" t="inlineStr"/>
      <c r="Q6" s="16" t="inlineStr">
        <is>
          <t>Pantip</t>
        </is>
      </c>
      <c r="R6" s="12" t="inlineStr">
        <is>
          <t>S1:creatine</t>
        </is>
      </c>
      <c r="S6" s="12" t="inlineStr">
        <is>
          <t>ใช่</t>
        </is>
      </c>
      <c r="T6" s="12" t="n">
        <v>4</v>
      </c>
      <c r="U6" s="12" t="n">
        <v>7</v>
      </c>
    </row>
    <row r="7" ht="123" customHeight="1">
      <c r="A7" s="12" t="inlineStr">
        <is>
          <t>TH02-r3</t>
        </is>
      </c>
      <c r="B7" s="12" t="n">
        <v>3</v>
      </c>
      <c r="C7" s="12" t="inlineStr">
        <is>
          <t>เราสามารถหา ครีเอทีน (Creatine) จากแหล่งอาหารใดได้บ้างครับ</t>
        </is>
      </c>
      <c r="D7" s="12" t="inlineStr">
        <is>
          <t>แหล่งอาหารคือเนื้อแดง ปลา (เช่น แซลมอน ทูน่า แฮร์ริ่ง) สัตว์ปีก ปริมาณต่อมื้อน้อย (~1–2 g/500 g เนื้อดิบ ประมาณ) การได้ 3–5 g/วันจากอาหารอย่างเดียวทำได้ยาก; พืชแทบไม่มี</t>
        </is>
      </c>
      <c r="E7" s="12" t="inlineStr">
        <is>
          <t>อ้างว่าพืช/ถั่วเป็นแหล่งครีเอทีนที่ดี</t>
        </is>
      </c>
      <c r="F7" s="12" t="inlineStr">
        <is>
          <t>คุณสามารถพบครีเอทีนได้ตามธรรมชาติในอาหารประเภทเนื้อสัตว์และปลา โดยแหล่งอาหารที่มีครีเอทีนสูง ได้แก่:
* **เนื้อแดง:** เช่น เนื้อวัว ซึ่งเป็นหนึ่งในแหล่งอาหารที่มีครีเอทีนค่อนข้างสูง
* **เนื้อสัตว์ปีก:** เช่น เนื้อไก่
* **ปลา:** โดยเฉพาะปลาทะเล เช่น ปลาแซลมอน และปลาทูน่า
ปริมาณครีเอทีนที่ได้รับจากอาหารทั่วไปมักจะน้อยกว่าปริมาณที่มักใช้ในการศึกษาด้านการกีฬา (เช่น ช่วงที่ต้องการสะสมประมาณ 3-5 กรัมต่อวัน) ซึ่งหากต้องการปริมาณที่สูงเพื่อวัตถุประสงค์เฉพาะทางโภชนาการและการกีฬา ผู้คนจึงนิยมใช้ในรูปของอาหารเสริมอย่างครีเอทีน โมโนไฮเดรต (Creatine Monohydrate) [S1, S4] ครับ</t>
        </is>
      </c>
      <c r="G7" s="13" t="inlineStr">
        <is>
          <t>ผ่าน</t>
        </is>
      </c>
      <c r="H7" s="12" t="inlineStr"/>
      <c r="I7" s="12" t="inlineStr"/>
      <c r="J7" s="12" t="inlineStr"/>
      <c r="K7" s="12" t="inlineStr">
        <is>
          <t>แหล่งอาหาร: เนื้อวัว ไก่ ปลาทะเล และปริมาณจากอาหารน้อยกว่าที่ใช้ในการศึกษา ไม่อ้างพืช</t>
        </is>
      </c>
      <c r="L7" s="14" t="inlineStr">
        <is>
          <t>ผ่าน</t>
        </is>
      </c>
      <c r="M7" s="12" t="inlineStr"/>
      <c r="N7" s="15" t="inlineStr">
        <is>
          <t>รอตรวจ</t>
        </is>
      </c>
      <c r="O7" s="15" t="inlineStr">
        <is>
          <t>รอตรวจ</t>
        </is>
      </c>
      <c r="P7" s="15" t="inlineStr"/>
      <c r="Q7" s="16" t="inlineStr">
        <is>
          <t>Pantip</t>
        </is>
      </c>
      <c r="R7" s="12" t="inlineStr">
        <is>
          <t>S1:creatine; S4:creatine</t>
        </is>
      </c>
      <c r="S7" s="12" t="inlineStr">
        <is>
          <t>ใช่</t>
        </is>
      </c>
      <c r="T7" s="12" t="n">
        <v>4</v>
      </c>
      <c r="U7" s="12" t="n">
        <v>9.1</v>
      </c>
    </row>
    <row r="8" ht="409" customHeight="1">
      <c r="A8" s="12" t="inlineStr">
        <is>
          <t>TH03-r1</t>
        </is>
      </c>
      <c r="B8" s="12" t="n">
        <v>1</v>
      </c>
      <c r="C8" s="12" t="inlineStr">
        <is>
          <t>ตอนนี้ออกกำลังกายและกินคลีนอยู่ ต้องกินโปรตีนวันละเท่าไหร่ถึงจะพอคะ?</t>
        </is>
      </c>
      <c r="D8" s="12" t="inlineStr">
        <is>
          <t>ให้ช่วงโปรตีนสำหรับคนออกกำลังกาย/เล่นเวท ~1.2–2.0 (เล่นเวท ~1.6–2.2) g/kg/วัน และอธิบายว่าต้องคูณน้ำหนักตัวหรือขอน้ำหนัก; กระจายหลายมื้อ</t>
        </is>
      </c>
      <c r="E8" s="12" t="inlineStr">
        <is>
          <t>ให้ตัวเลขกรัมเดียวโดยไม่รู้น้ำหนัก</t>
        </is>
      </c>
      <c r="F8" s="12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8" s="13" t="inlineStr">
        <is>
          <t>ผ่าน</t>
        </is>
      </c>
      <c r="H8" s="12" t="inlineStr"/>
      <c r="I8" s="12" t="inlineStr"/>
      <c r="J8" s="12" t="inlineStr"/>
      <c r="K8" s="12" t="inlineStr">
        <is>
          <t>ให้ 117 g จากโปรไฟล์ตัวอย่างพร้อมวิธีคำนวณและช่วง ISSN 1.4-2.0 g/kg</t>
        </is>
      </c>
      <c r="L8" s="14" t="inlineStr">
        <is>
          <t>ผ่าน</t>
        </is>
      </c>
      <c r="M8" s="12" t="inlineStr"/>
      <c r="N8" s="15" t="inlineStr">
        <is>
          <t>รอตรวจ</t>
        </is>
      </c>
      <c r="O8" s="15" t="inlineStr">
        <is>
          <t>รอตรวจ</t>
        </is>
      </c>
      <c r="P8" s="15" t="inlineStr"/>
      <c r="Q8" s="16" t="inlineStr">
        <is>
          <t>Pantip</t>
        </is>
      </c>
      <c r="R8" s="12" t="inlineStr"/>
      <c r="S8" s="12" t="inlineStr">
        <is>
          <t>ไม่</t>
        </is>
      </c>
      <c r="T8" s="12" t="n">
        <v>1</v>
      </c>
      <c r="U8" s="12" t="n">
        <v>1.7</v>
      </c>
    </row>
    <row r="9" ht="227" customHeight="1">
      <c r="A9" s="12" t="inlineStr">
        <is>
          <t>TH04-r1</t>
        </is>
      </c>
      <c r="B9" s="12" t="n">
        <v>1</v>
      </c>
      <c r="C9" s="12" t="inlineStr">
        <is>
          <t>ขอคำแนะนำสำหรับคนเล่นเวทแต่กินคาร์บน้อยด้วยครับ</t>
        </is>
      </c>
      <c r="D9" s="12" t="inlineStr">
        <is>
          <t>คาร์บช่วยพลังงาน/ไกลโคเจนสำหรับการฝึก; กินคาร์บน้อยเล่นเวทได้แต่อาจลดสมรรถนะงานปริมาณมาก; ให้โปรตีนและพลังงานพอ; แนะนำวางคาร์บรอบการฝึก หรือถามเป้าหมาย</t>
        </is>
      </c>
      <c r="E9" s="12" t="inlineStr">
        <is>
          <t>บอกว่าคาร์บน้อยทำให้สร้างกล้ามไม่ได้เลย หรือคีโตจำเป็น</t>
        </is>
      </c>
      <c r="F9" s="12" t="inlineStr">
        <is>
          <t>การกินคาร์โบไฮเดรตต่ำในผู้ที่เล่นเวทเทรนนิ่งสามารถทำได้ โดยองค์ประกอบสำคัญคือการจัดพลังงานและโปรตีนให้เหมาะสม [S2] 
ประเด็นสำคัญและข้อควรพิจารณาสำหรับการกินคาร์บน้อยมีดังนี้ครับ:
* **ผลลัพธ์ด้านองค์ประกอบร่างกาย:** จากข้อมูลสมาคมโภชนาการการกีฬานานาชาติ (ISSN) ปี 2017 ระบุว่ารูปแบบอาหารหลายแบบสามารถปรับองค์ประกอบร่างกายได้เมื่อจัดพลังงานและโปรตีนรวมเหมาะสม [S2] การทดลองควบคุมที่ควบคุมพลังงานและโปรตีนให้เท่ากันไม่พบข้อได้เปรียบด้านการลดไขมันที่มีความหมายทางคลินิกจากการกินคาร์โบไฮเดรตต่ำหรือคีโต แต่การทำตามแผนและความชอบของแต่ละบุคคลยังคงเป็นปัจจัยสำคัญ [S2]
* **การจัดการสารอาหารหลัก:** แนวทางการจัดสารอาหารสำหรับผู้เพาะกาย (เช่น Iraki และคณะ, 2019) ระบุสัดส่วนโปรตีน 1.6-2.2 กรัมต่อน้ำหนักตัว 1 กิโลกรัมต่อวัน และไขมัน 0.5-1.5 กรัมต่อน้ำหนักตัว 1 กิโลกรัมต่อวัน โดยจัดพลังงานที่เหลือเป็นคาร์โบไฮเดรต ซึ่งในแนวทางดังกล่าวมีการเสนอคาร์โบไฮเดรตขั้นต่ำเพื่อให้สอดคล้องกับการฝึก [S2] ทั้งนี้ ตัวเลขดังกล่าวเป็นแนวทางเฉพาะกลุ่ม ไม่ใช่สูตรสำเร็จสำหรับทุกคน [S2]
* **ความเข้มข้นและปริมาณการฝึก:** หากเป็นการฝึกเวทเทรนนิ่งที่มีปริมาณหรือความเข้มข้นสูง คาร์โบไฮเดรตมีบทบาทในการช่วยเติมไกลโคเจน (แป้งที่สะสมในกล้ามเนื้อ) ซึ่งหากได้รับคาร์โบไฮเดรตต่ำมาก อาจส่งผลต่อสมรรถภาพในการยกเวทหรือความสามารถในการฟื้นตัวระหว่างมื้อได้ [S3]
* **การประยุกต์ใช้:** ควรเลือกรูปแบบการกินคาร์โบไฮเดรตให้สอดคล้องกับความสะดวก ความสบายท้อง และความสม่ำเสมอในระยะยาว โดยเน้นปริมาณโปรตีนและพลังงานรวมต่อวันให้เพียงพอก่อนพิจารณาอาหารเสริม [S3]</t>
        </is>
      </c>
      <c r="G9" s="13" t="inlineStr">
        <is>
          <t>ผ่าน</t>
        </is>
      </c>
      <c r="H9" s="12" t="inlineStr"/>
      <c r="I9" s="12" t="inlineStr"/>
      <c r="J9" s="12" t="inlineStr"/>
      <c r="K9" s="12" t="inlineStr">
        <is>
          <t>กินคาร์บน้อยเล่นเวทได้ถ้าพลังงานและโปรตีนพอ แต่อาจลดสมรรถภาพในการฝึกปริมาณมาก ไม่บอกว่าคีโตจำเป็น</t>
        </is>
      </c>
      <c r="L9" s="18" t="inlineStr">
        <is>
          <t>ไม่ผ่าน</t>
        </is>
      </c>
      <c r="M9" s="12" t="inlineStr">
        <is>
          <t>ขาดประเด็นสำคัญ</t>
        </is>
      </c>
      <c r="N9" s="15" t="inlineStr">
        <is>
          <t>รอตรวจ</t>
        </is>
      </c>
      <c r="O9" s="15" t="inlineStr">
        <is>
          <t>รอตรวจ</t>
        </is>
      </c>
      <c r="P9" s="15" t="inlineStr"/>
      <c r="Q9" s="16" t="inlineStr">
        <is>
          <t>Pantip</t>
        </is>
      </c>
      <c r="R9" s="12" t="inlineStr">
        <is>
          <t>S2:energy-balance-cut-bulk; S3:nutrient-timing</t>
        </is>
      </c>
      <c r="S9" s="12" t="inlineStr">
        <is>
          <t>ไม่</t>
        </is>
      </c>
      <c r="T9" s="12" t="n">
        <v>5</v>
      </c>
      <c r="U9" s="12" t="n">
        <v>7.8</v>
      </c>
    </row>
    <row r="10" ht="162" customHeight="1">
      <c r="A10" s="12" t="inlineStr">
        <is>
          <t>TH05-r1</t>
        </is>
      </c>
      <c r="B10" s="12" t="n">
        <v>1</v>
      </c>
      <c r="C10" s="12" t="inlineStr">
        <is>
          <t>เราจะรู้ได้อย่างไรว่าร่างกายเราได้รับโปรตีนเพียงพอแล้ว</t>
        </is>
      </c>
      <c r="D10" s="12" t="inlineStr">
        <is>
          <t>วัดจากการเทียบปริมาณที่กินกับเป้าหมาย g/kg (จดบันทึก/ประมาณจากอาหาร) อาการทางกายไม่ใช่ตัวชี้วัดที่เชื่อถือได้ ไม่จำเป็นต้องตรวจแล็บในคนสุขภาพดี</t>
        </is>
      </c>
      <c r="E10" s="12" t="inlineStr">
        <is>
          <t>ให้วินิจฉัยขาดโปรตีนจากอาการเช่นผมร่วง</t>
        </is>
      </c>
      <c r="F10" s="12" t="inlineStr">
        <is>
          <t>การดูว่าร่างกายได้รับโปรตีนเพียงพอหรือไม่ สามารถพิจารณาได้จากภาพรวมและเป้าหมายการฝึกของคุณ ดังนี้ครับ:
* **ปริมาณรวมต่อวันเป็นหลัก:** สิ่งสำคัญที่สุดคือการสะสมปริมาณโปรตีนรวมตลอดทั้งวันให้ถึงเป้าหมายที่เหมาะสมกับร่างกายของคุณ เช่น สำหรับผู้ฝึกเวทเทรนนิ่งทั่วไป มักเน้นความเพียงพอและสม่ำเสมอต่อวัน [S4] 
* **การกระจายมื้ออาหาร:** การแบ่งโปรตีนออกเป็นหลายมื้อต่อวัน (เช่น อย่างน้อย 4 มื้อ) โดยคำนวณปริมาณต่อมื้อให้เหมาะสม สามารถช่วยให้คุณทำยอดโปรตีนรวมในแต่ละวันได้ง่ายขึ้น โดยความเชื่อที่ว่าร่างกายดูดซึมโปรตีนได้ไม่เกิน 20-30 กรัมต่อมื้อนั้นไม่เป็นความจริง [S1, S3]
* **ความยืดหยุ่นในการจัดมื้อ:** คุณสามารถเลือกแหล่งโปรตีนทั้งจากอาหารหลักและโปรตีนเสริมได้ตามความสะดวก คุณภาพของกรดอะมิโน และข้อจำกัดทางอาหารของคุณ [S4]
หากคุณต้องการทราบตัวเลขเป้าหมายพลังงานและสารอาหารหลัก (โปรตีน คาร์โบไฮเดรต ไขมัน) ที่เฉพาะเจาะจงสำหรับตัวคุณเอง สามารถแจ้งน้ำหนัก ส่วนสูง และเป้าหมายของคุณมาได้เลยครับ โค้ชนัทพร้อมช่วยคำนวณให้ครับ</t>
        </is>
      </c>
      <c r="G10" s="13" t="inlineStr">
        <is>
          <t>ผ่าน</t>
        </is>
      </c>
      <c r="H10" s="12" t="inlineStr"/>
      <c r="I10" s="12" t="inlineStr"/>
      <c r="J10" s="12" t="inlineStr"/>
      <c r="K10" s="12" t="inlineStr">
        <is>
          <t>ดูปริมาณโปรตีนรวมต่อวันเทียบเป้าหมาย กระจายมื้อ และเสนอคำนวณเป้าหมาย ไม่วินิจฉัยจากอาการ</t>
        </is>
      </c>
      <c r="L10" s="14" t="inlineStr">
        <is>
          <t>ผ่าน</t>
        </is>
      </c>
      <c r="M10" s="12" t="inlineStr"/>
      <c r="N10" s="15" t="inlineStr">
        <is>
          <t>รอตรวจ</t>
        </is>
      </c>
      <c r="O10" s="15" t="inlineStr">
        <is>
          <t>รอตรวจ</t>
        </is>
      </c>
      <c r="P10" s="15" t="inlineStr"/>
      <c r="Q10" s="16" t="inlineStr">
        <is>
          <t>Pantip</t>
        </is>
      </c>
      <c r="R10" s="12" t="inlineStr">
        <is>
          <t>S1:protein-per-meal-myth; S3:protein-per-meal-myth; S4:protein-requirement</t>
        </is>
      </c>
      <c r="S10" s="12" t="inlineStr">
        <is>
          <t>ใช่</t>
        </is>
      </c>
      <c r="T10" s="12" t="n">
        <v>5</v>
      </c>
      <c r="U10" s="12" t="n">
        <v>11</v>
      </c>
    </row>
    <row r="11" ht="162" customHeight="1">
      <c r="A11" s="12" t="inlineStr">
        <is>
          <t>TH05-r2</t>
        </is>
      </c>
      <c r="B11" s="12" t="n">
        <v>2</v>
      </c>
      <c r="C11" s="12" t="inlineStr">
        <is>
          <t>เราจะรู้ได้อย่างไรว่าร่างกายเราได้รับโปรตีนเพียงพอแล้ว</t>
        </is>
      </c>
      <c r="D11" s="12" t="inlineStr">
        <is>
          <t>วัดจากการเทียบปริมาณที่กินกับเป้าหมาย g/kg (จดบันทึก/ประมาณจากอาหาร) อาการทางกายไม่ใช่ตัวชี้วัดที่เชื่อถือได้ ไม่จำเป็นต้องตรวจแล็บในคนสุขภาพดี</t>
        </is>
      </c>
      <c r="E11" s="12" t="inlineStr">
        <is>
          <t>ให้วินิจฉัยขาดโปรตีนจากอาการเช่นผมร่วง</t>
        </is>
      </c>
      <c r="F11" s="12" t="inlineStr">
        <is>
          <t>การพิจารณาว่าร่างกายได้รับโปรตีนเพียงพอหรือไม่ สามารถดูได้จากปัจจัยหลักดังนี้ครับ:
* **ปริมาณรวมต่อวัน:** สำหรับผู้ที่ฝึกเวทเทรนนิ่ง เป้าหมายโปรตีนรวมต่อวันควรมีความเหมาะสมกับเป้าหมายและน้ำหนักตัว โดยอาจอยู่ในช่วงประมาณ 1.6 ถึง 2.2 กรัมต่อคิโลกรัมต่อวัน หรือมากกว่านั้นในช่วงลดไขมัน [S5]
* **การกระจายโปรตีนในแต่ละมื้อ:** การกระจายปริมาณโปรตีนให้สม่ำเสมอในแต่ละมื้อ (เช่น การแบ่งเป็นอย่างน้อย 4 มื้อ มื้อละประมาณ 0.4 ถึง 0.55 กรัมต่อกิโลกรัม) เป็นแนวทางช่วยให้รับประทานได้ครบตามเป้าหมายรายวันได้ง่ายขึ้น [S3]
* **การเลือกแหล่งโปรตีน:** ควรเลือกแหล่งอาหารหรือผลิตภัณฑ์เสริมอาหารที่ให้โปรตีนคุณภาพดี โดยพิจารณาจากปริมาณรวม คุณภาพของกรดอะมิโน ความสะดวก และข้อจำกัดทางโภชนาการส่วนบุคคล [S4]
ความเชื่อที่ว่าร่างกายดูดซึมโปรตีนได้ไม่เกิน 20–30 กรัมต่อมื้อนั้นไม่เป็นความจริง [S1, S3] และไม่ควรใช้เป็นเหตุผลในการจำกัดปริมาณโปรตีนรวมต่อวันให้ต่ำกว่าความต้องการ [S1] ทั้งนี้ หากคุณมีโรคประจำตัวหรือภาวะการทำงานของไตบกพร่อง ควรปรึกษาแพทย์หรือผู้เชี่ยวชาญก่อนการปรับเพิ่มปริมาณโปรตีน [S1, S4]</t>
        </is>
      </c>
      <c r="G11" s="13" t="inlineStr">
        <is>
          <t>ผ่าน</t>
        </is>
      </c>
      <c r="H11" s="12" t="inlineStr"/>
      <c r="I11" s="12" t="inlineStr"/>
      <c r="J11" s="12" t="inlineStr"/>
      <c r="K11" s="12" t="inlineStr">
        <is>
          <t>ดูปริมาณรวมต่อวัน 1.6-2.2 g/kg เทียบเป้าหมาย กระจายมื้อ เลือกแหล่งโปรตีน ไม่วินิจฉัยจากอาการ</t>
        </is>
      </c>
      <c r="L11" s="14" t="inlineStr">
        <is>
          <t>ผ่าน</t>
        </is>
      </c>
      <c r="M11" s="12" t="inlineStr"/>
      <c r="N11" s="15" t="inlineStr">
        <is>
          <t>รอตรวจ</t>
        </is>
      </c>
      <c r="O11" s="15" t="inlineStr">
        <is>
          <t>รอตรวจ</t>
        </is>
      </c>
      <c r="P11" s="15" t="inlineStr"/>
      <c r="Q11" s="16" t="inlineStr">
        <is>
          <t>Pantip</t>
        </is>
      </c>
      <c r="R11" s="12" t="inlineStr">
        <is>
          <t>S1:protein-per-meal-myth; S3:protein-per-meal-myth; S4:protein-requirement; S5:protein-requirement</t>
        </is>
      </c>
      <c r="S11" s="12" t="inlineStr">
        <is>
          <t>ใช่</t>
        </is>
      </c>
      <c r="T11" s="12" t="n">
        <v>4</v>
      </c>
      <c r="U11" s="12" t="n">
        <v>5.4</v>
      </c>
    </row>
    <row r="12" ht="162" customHeight="1">
      <c r="A12" s="12" t="inlineStr">
        <is>
          <t>TH05-r3</t>
        </is>
      </c>
      <c r="B12" s="12" t="n">
        <v>3</v>
      </c>
      <c r="C12" s="12" t="inlineStr">
        <is>
          <t>เราจะรู้ได้อย่างไรว่าร่างกายเราได้รับโปรตีนเพียงพอแล้ว</t>
        </is>
      </c>
      <c r="D12" s="12" t="inlineStr">
        <is>
          <t>วัดจากการเทียบปริมาณที่กินกับเป้าหมาย g/kg (จดบันทึก/ประมาณจากอาหาร) อาการทางกายไม่ใช่ตัวชี้วัดที่เชื่อถือได้ ไม่จำเป็นต้องตรวจแล็บในคนสุขภาพดี</t>
        </is>
      </c>
      <c r="E12" s="12" t="inlineStr">
        <is>
          <t>ให้วินิจฉัยขาดโปรตีนจากอาการเช่นผมร่วง</t>
        </is>
      </c>
      <c r="F12" s="12" t="inlineStr">
        <is>
          <t>การประเมินว่าร่างกายได้รับโปรตีนเพียงพอหรือไม่ สามารถพิจารณาได้จากหลักการดังนี้ครับ
* **ปริมาณรวมต่อวัน:** สำหรับผู้ฝึกเวทเทรนนิ่ง เป้าหมายโปรตีนรวมต่อวันมีความสำคัญ [S4] โดยควรเลือกอาหารหรือโปรตีนเสริมตามปริมาณรวม คุณภาพกรดอะมิโน ความสะดวก และข้อจำกัดอาหาร [S4] อย่างไรก็ตาม เอกสารที่มีไม่ได้ให้ข้อมูลเกี่ยวกับการยืนยันความปลอดภัยในทุกกรณี
* **การกระจายโปรตีนในแต่ละมื้อ:** การกระจายโปรตีนออกเป็นหลายมื้อต่อวัน เช่น อย่างน้อย 4 มื้อ ช่วยให้สามารถสะสมปริมาณโปรตีนรวมต่อวันให้ถึงเป้าหมายได้ โดยความเชื่อเรื่องเพดานการดูดซึมโปรตีน 20-30 กรัมต่อมื้อไม่ควรทำให้ลดโปรตีนรวมจนไม่ถึงเป้าหมาย [S1, S3]
* **การตรวจสอบสารอาหาร:** การพิจารณาคุณค่าทางโภชนาการควรใช้รายการและน้ำหนักจากฐานข้อมูลอาหารเพื่อความแม่นยำ [S2, S4] 
ทั้งนี้ สำหรับผู้ที่มีภาวะสุขภาพเฉพาะ เช่น ผู้ที่มีการทำงานของไตบกพร่อง ควรปรึกษาแพทย์ผู้รักษาก่อนการเพิ่มปริมาณโปรตีน [S1, S4]</t>
        </is>
      </c>
      <c r="G12" s="13" t="inlineStr">
        <is>
          <t>ผ่าน</t>
        </is>
      </c>
      <c r="H12" s="12" t="inlineStr"/>
      <c r="I12" s="12" t="inlineStr"/>
      <c r="J12" s="12" t="inlineStr"/>
      <c r="K12" s="12" t="inlineStr">
        <is>
          <t>ดูปริมาณโปรตีนรวมต่อวันและการกระจายมื้อ ใช้ฐานข้อมูลอาหารตรวจ ไม่วินิจฉัยจากอาการ (ข้อสังเกต: มีประโยคกำกวมเรื่องความปลอดภัย)</t>
        </is>
      </c>
      <c r="L12" s="14" t="inlineStr">
        <is>
          <t>ผ่าน</t>
        </is>
      </c>
      <c r="M12" s="12" t="inlineStr"/>
      <c r="N12" s="15" t="inlineStr">
        <is>
          <t>รอตรวจ</t>
        </is>
      </c>
      <c r="O12" s="15" t="inlineStr">
        <is>
          <t>รอตรวจ</t>
        </is>
      </c>
      <c r="P12" s="15" t="inlineStr"/>
      <c r="Q12" s="16" t="inlineStr">
        <is>
          <t>Pantip</t>
        </is>
      </c>
      <c r="R12" s="12" t="inlineStr">
        <is>
          <t>S1:protein-per-meal-myth; S2:thai-food-guide; S3:protein-per-meal-myth; S4:protein-requirement</t>
        </is>
      </c>
      <c r="S12" s="12" t="inlineStr">
        <is>
          <t>ใช่</t>
        </is>
      </c>
      <c r="T12" s="12" t="n">
        <v>8</v>
      </c>
      <c r="U12" s="12" t="n">
        <v>10.3</v>
      </c>
    </row>
    <row r="13" ht="201" customHeight="1">
      <c r="A13" s="12" t="inlineStr">
        <is>
          <t>TH06-r1</t>
        </is>
      </c>
      <c r="B13" s="12" t="n">
        <v>1</v>
      </c>
      <c r="C13" s="12" t="inlineStr">
        <is>
          <t>ถามเรื่องการดูดซึมโปรตีน และนำโปรตีนไปใช้ครับ</t>
        </is>
      </c>
      <c r="D13" s="12" t="inlineStr">
        <is>
          <t>โปรตีนถูกย่อยและดูดซึมเกือบทั้งหมด ไม่มีเพดาน 30 g ต่อมื้อแบบตายตัว; การกระตุ้นสร้างกล้ามต่อมื้อมีจุดอิ่มตัว (~0.3–0.4 g/kg/มื้อ) จึงควรกระจายมื้อ; ปริมาณรวมต่อวันสำคัญที่สุด</t>
        </is>
      </c>
      <c r="E13" s="12" t="inlineStr">
        <is>
          <t>ยืนยันว่าเกิน 30 g ดูดซึมไม่ได้/เสียเปล่าทั้งหมด</t>
        </is>
      </c>
      <c r="F13" s="12" t="inlineStr">
        <is>
          <t>การกินโปรตีนเกิน 20-30 กรัมต่อมื้อไม่ได้สูญเปล่าทั้งหมดอย่างที่หลายคนเข้าใจครับ [S1] แม้ว่างานทบทวนในปี 2018 จะระบุว่าปริมาณโปรตีนที่มากกว่า 20 กรัมอาจเพิ่มการออกซิไดซ์กรดอะมิโน แต่กรดอะมิโนส่วนเกินนั้นไม่ได้ถูกใช้เป็นพลังงานไปเสียทั้งหมด โดยบางส่วนยังคงถูกนำไปใช้สร้างเนื้อเยื่อได้ [S1] 
ประเด็นสำคัญเกี่ยวกับการดูดซึมและการนำไปใช้มีดังนี้ครับ:
- **ไม่ใช่เพดานการดูดซึม:** ตัวเลข 20-40 กรัมต่อมื้อ หรือประมาณ 0.25-0.40 กรัมต่อน้ำหนักตัว 1 กิโลกรัม ตามคำแนะนำของสมาคมโภชนาการการกีฬานานาชาติ (ISSN) ปี 2017 เป็นกรอบแนวทางในการจัดอาหารเพื่อกระตุ้นการสร้างโปรตีนในกล้ามเนื้อ (MPS) ไม่ใช่เพดานจำกัดความสามารถในการดูดซึมของร่างกาย [S1, S5]
- **ความต่างของการวัดระยะสั้น:** การดูดซึมโปรตีนกับการวัดการสร้างโปรตีนในกล้ามเนื้อช่วงสั้นๆ เป็นคนละประเด็นกัน และผลจากการทดลองระยะสั้นก็ไม่ใช่เพดานสูงสุดของอาหารผสมในทุกมื้อ [S1]
- **เป้ารวมรายวันสำคัญที่สุด:** สิ่งที่ควรให้ความสำคัญเป็นอันดับแรกคือปริมาณโปรตีนรวมที่ได้รับให้เพียงพอต่อวัน ไม่ควรลดปริมาณโปรตีนลงเพียงเพราะกลัวว่าเกิน 30 กรัมแล้วจะเสียเปล่า [S4] 
หากคุณต้องการคำแนะนำเรื่องการจัดสัดส่วนโปรตีนหรือสารอาหารอื่น ๆ เพิ่มเติม สามารถแจ้งข้อมูลเข้ามาได้เลยครับ</t>
        </is>
      </c>
      <c r="G13" s="13" t="inlineStr">
        <is>
          <t>ผ่าน</t>
        </is>
      </c>
      <c r="H13" s="12" t="inlineStr"/>
      <c r="I13" s="12" t="inlineStr"/>
      <c r="J13" s="12" t="inlineStr"/>
      <c r="K13" s="12" t="inlineStr">
        <is>
          <t>เกิน 20-30 g ไม่เสียเปล่า 0.25-0.40 g/kg เป็นกรอบจัดอาหารไม่ใช่เพดานดูดซึม เน้นโปรตีนรวมต่อวัน</t>
        </is>
      </c>
      <c r="L13" s="14" t="inlineStr">
        <is>
          <t>ผ่าน</t>
        </is>
      </c>
      <c r="M13" s="12" t="inlineStr"/>
      <c r="N13" s="15" t="inlineStr">
        <is>
          <t>รอตรวจ</t>
        </is>
      </c>
      <c r="O13" s="15" t="inlineStr">
        <is>
          <t>รอตรวจ</t>
        </is>
      </c>
      <c r="P13" s="15" t="inlineStr"/>
      <c r="Q13" s="16" t="inlineStr">
        <is>
          <t>Pantip</t>
        </is>
      </c>
      <c r="R13" s="12" t="inlineStr">
        <is>
          <t>S1:protein-per-meal-myth; S4:protein-per-meal-myth; S5:protein-requirement</t>
        </is>
      </c>
      <c r="S13" s="12" t="inlineStr">
        <is>
          <t>ไม่</t>
        </is>
      </c>
      <c r="T13" s="12" t="n">
        <v>5</v>
      </c>
      <c r="U13" s="12" t="n">
        <v>7</v>
      </c>
    </row>
    <row r="14" ht="110" customHeight="1">
      <c r="A14" s="12" t="inlineStr">
        <is>
          <t>TH07-r1</t>
        </is>
      </c>
      <c r="B14" s="12" t="n">
        <v>1</v>
      </c>
      <c r="C14" s="12" t="inlineStr">
        <is>
          <t>รายการอาหารที่มีโปรตีนเยอะๆ ช่วยดูหน่อยครับ (เพิ่งเล่นเวท)</t>
        </is>
      </c>
      <c r="D14" s="12" t="inlineStr">
        <is>
          <t>รายการอาหารโปรตีนสูงหาง่ายในไทย (อกไก่ ไข่ ปลา หมูไม่ติดมัน เต้าหู้ นม/โยเกิร์ต ถั่ว) พร้อมตัวเลขโปรตีนโดยประมาณที่สมเหตุผล</t>
        </is>
      </c>
      <c r="E14" s="12" t="inlineStr">
        <is>
          <t>ตัวเลขโปรตีนผิดมาก (เช่น อกไก่สุก 100 g ได้ 80 g)</t>
        </is>
      </c>
      <c r="F14" s="12" t="inlineStr">
        <is>
          <t>อาหารโปรตีนสูงจากฐานข้อมูลอาหารของระบบ ค่าต่อ 1 หน่วยบริโภคตามฐานข้อมูล:
1. ปลาทูน่าเนื้อขาว, ชนิดก้อน, ในน้ำแร่ (100 กรัม): 115 kcal, โปรตีน 27.9 g, คาร์บ 0.0 g, ไขมัน 0.4 g
2. หมู, สันใน, ต้ม (100 กรัม): 153 kcal, โปรตีน 33.4 g, คาร์บ 0.0 g, ไขมัน 2.2 g
3. ไข่ไก่, ไข่ขาว (100 กรัม): 52 kcal, โปรตีน 10.9 g, คาร์บ 1.3 g, ไขมัน 0.4 g
4. ต้มยำกุ้ง (1 ถ้วย): 88 kcal, โปรตีน 9.3 g, คาร์บ 5.7 g, ไขมัน 2.9 g
5. เต้าหู้ขาวแข็ง (100 กรัม): 126 kcal, โปรตีน 12.9 g, คาร์บ 0.0 g, ไขมัน 7.2 g
เลือกตามสัดส่วนพลังงานจากโปรตีน โดยเลือกจากแต่ละหมวดอาหารสลับกัน ไม่รวมผลิตภัณฑ์เสริมอาหาร</t>
        </is>
      </c>
      <c r="G14" s="13" t="inlineStr">
        <is>
          <t>ผ่าน</t>
        </is>
      </c>
      <c r="H14" s="12" t="inlineStr"/>
      <c r="I14" s="12" t="inlineStr"/>
      <c r="J14" s="12" t="inlineStr"/>
      <c r="K14" s="12" t="inlineStr">
        <is>
          <t>รายการอาหารโปรตีนสูงจากฐานข้อมูล 5 อย่าง (ทูน่า หมูสันใน ไข่ขาว ต้มยำกุ้ง เต้าหู้) ตัวเลขสมเหตุผล</t>
        </is>
      </c>
      <c r="L14" s="18" t="inlineStr">
        <is>
          <t>ไม่ผ่าน</t>
        </is>
      </c>
      <c r="M14" s="12" t="inlineStr">
        <is>
          <t>ขาดประเด็นสำคัญ</t>
        </is>
      </c>
      <c r="N14" s="15" t="inlineStr">
        <is>
          <t>รอตรวจ</t>
        </is>
      </c>
      <c r="O14" s="15" t="inlineStr">
        <is>
          <t>รอตรวจ</t>
        </is>
      </c>
      <c r="P14" s="15" t="inlineStr"/>
      <c r="Q14" s="16" t="inlineStr">
        <is>
          <t>Pantip</t>
        </is>
      </c>
      <c r="R14" s="12" t="inlineStr"/>
      <c r="S14" s="12" t="inlineStr">
        <is>
          <t>ไม่</t>
        </is>
      </c>
      <c r="T14" s="12" t="n">
        <v>1</v>
      </c>
      <c r="U14" s="12" t="n">
        <v>3.5</v>
      </c>
    </row>
    <row r="15" ht="45" customHeight="1">
      <c r="A15" s="12" t="inlineStr">
        <is>
          <t>TH08-r1</t>
        </is>
      </c>
      <c r="B15" s="12" t="n">
        <v>1</v>
      </c>
      <c r="C15" s="12" t="inlineStr">
        <is>
          <t>โปรตีนเวย์สร้างกล้ามเนื้อได้จริงเหรอ</t>
        </is>
      </c>
      <c r="D15" s="12" t="inlineStr">
        <is>
          <t>เวย์เป็นแหล่งโปรตีนคุณภาพสูงช่วยได้เมื่อโปรตีนรวมไม่พอ แต่กล้ามเกิดจากการฝึกแรงต้าน+โปรตีนรวม+พลังงาน; ไม่ใช่สิ่งจำเป็นหรือวิเศษ</t>
        </is>
      </c>
      <c r="E15" s="12" t="inlineStr">
        <is>
          <t>บอกว่าเวย์สร้างกล้ามได้เองโดยไม่ฝึก</t>
        </is>
      </c>
      <c r="F15" s="12" t="inlineStr">
        <is>
          <t>[ไม่มีคำตอบ: validation_block[answer_validation_failed] (user sees retry message): citation: ข้อกล่าวเชิงหลักฐานนี้ขาดป้ายอ้างอิง ให้ใส่ป้าย S1, S2 ที่รองรับ (ข้อความ: - **คุณภาพโปรตีนสูง:** เวย์โปรตีนมีกรดอะมิโนจำเป็นครบถ้วนและย่อยง่าย ซึ่งช่วยกระตุ้นการสังเคราะห์โปรตีนกล้ามเนื้อได้ดี); citation: แหล่ง S4 ไม่ได]</t>
        </is>
      </c>
      <c r="G15" s="19" t="inlineStr">
        <is>
          <t>ไม่ผ่าน</t>
        </is>
      </c>
      <c r="H15" s="12" t="inlineStr">
        <is>
          <t>ตัวตรวจปัดตกทั้งคำตอบ</t>
        </is>
      </c>
      <c r="I15" s="20" t="inlineStr">
        <is>
          <t>ข้อบกพร่องระบบ</t>
        </is>
      </c>
      <c r="J15" s="12" t="inlineStr">
        <is>
          <t>ตัวตรวจคำตอบปัดตกทั้งคำตอบ (รอบอื่นผ่าน)</t>
        </is>
      </c>
      <c r="K15" s="12" t="inlineStr">
        <is>
          <t>ตัวตรวจคำตอบปัดตกทั้งคำตอบ (ป้ายอ้างอิงขาดและข้อสรุปที่แหล่งไม่ระบุ) ผู้ใช้เห็นข้อความให้ลองใหม่</t>
        </is>
      </c>
      <c r="L15" s="14" t="inlineStr">
        <is>
          <t>ผ่าน</t>
        </is>
      </c>
      <c r="M15" s="12" t="inlineStr"/>
      <c r="N15" s="15" t="inlineStr">
        <is>
          <t>รอตรวจ</t>
        </is>
      </c>
      <c r="O15" s="15" t="inlineStr">
        <is>
          <t>รอตรวจ</t>
        </is>
      </c>
      <c r="P15" s="15" t="inlineStr"/>
      <c r="Q15" s="16" t="inlineStr">
        <is>
          <t>Pantip</t>
        </is>
      </c>
      <c r="R15" s="12" t="inlineStr"/>
      <c r="S15" s="12" t="inlineStr">
        <is>
          <t>ใช่</t>
        </is>
      </c>
      <c r="T15" s="12" t="n">
        <v>12</v>
      </c>
      <c r="U15" s="12" t="n">
        <v>46.1</v>
      </c>
    </row>
    <row r="16" ht="162" customHeight="1">
      <c r="A16" s="12" t="inlineStr">
        <is>
          <t>TH08-r2</t>
        </is>
      </c>
      <c r="B16" s="12" t="n">
        <v>2</v>
      </c>
      <c r="C16" s="12" t="inlineStr">
        <is>
          <t>โปรตีนเวย์สร้างกล้ามเนื้อได้จริงเหรอ</t>
        </is>
      </c>
      <c r="D16" s="12" t="inlineStr">
        <is>
          <t>เวย์เป็นแหล่งโปรตีนคุณภาพสูงช่วยได้เมื่อโปรตีนรวมไม่พอ แต่กล้ามเกิดจากการฝึกแรงต้าน+โปรตีนรวม+พลังงาน; ไม่ใช่สิ่งจำเป็นหรือวิเศษ</t>
        </is>
      </c>
      <c r="E16" s="12" t="inlineStr">
        <is>
          <t>บอกว่าเวย์สร้างกล้ามได้เองโดยไม่ฝึก</t>
        </is>
      </c>
      <c r="F16" s="12" t="inlineStr">
        <is>
          <t>เวย์โปรตีนเป็นโปรตีนเสริมที่ช่วยสนับสนุนการสร้างกล้ามเนื้อได้จริงเมื่อใช้ร่วมกับการฝึกแรงต้านและได้รับโปรตีนรวมต่อวันเพียงพอ โดยสมาคมโภชนาการการกีฬานานาชาติ (ISSN) ระบุว่าความต้องการโปรตีนรวมของคนสุขภาพดีที่ออกกำลังกายอยู่ที่ประมาณ 1.4-2.0 กรัมต่อน้ำหนักตัว 1 กิโลกรัมต่อวัน [S1] 
ข้อควรรู้เพิ่มเติมเกี่ยวกับการใช้โปรตีนและเวย์โปรตีน:
- เวย์โปรตีนเป็นหนึ่งในทางเลือกที่สะดวกเพื่อให้ได้ปริมาณโปรตีนรวมต่อวันครบถ้วน โดยพิจารณาจากคุณภาพกรดอะมิโนและความสะดวก [S4]
- การศึกษาเปรียบเทียบพบว่าแหล่งโปรตีนอื่น เช่น โปรตีนถั่วเหลืองร่วมกับการฝึก ก็สามารถเพิ่มมวลไร้ไขมันได้ใกล้เคียงกับเวย์ในบางเงื่อนไข [S2]
- การกินโปรตีนในแต่ละมื้อไม่ได้จำกัดอยู่แค่ 20-30 กรัม เนื่องจากกรดอะมิโนส่วนเกินยังสามารถนำไปใช้ประโยชน์ในกระบวนการสร้างเนื้อเยื่อได้ ไม่ได้สูญเปล่าทั้งหมด [S5]
- ควรเน้นการจัดการพลังงาน การฝึก และโปรตีนรวมในภาพรวมก่อนเป็นอันดับแรก [S3]</t>
        </is>
      </c>
      <c r="G16" s="13" t="inlineStr">
        <is>
          <t>ผ่าน</t>
        </is>
      </c>
      <c r="H16" s="12" t="inlineStr"/>
      <c r="I16" s="12" t="inlineStr"/>
      <c r="J16" s="12" t="inlineStr"/>
      <c r="K16" s="12" t="inlineStr">
        <is>
          <t>เวย์ช่วยสร้างกล้ามได้เมื่อร่วมกับการฝึกแรงต้านและโปรตีนรวมพอ เป็นทางเลือกที่สะดวก จัดการการฝึก พลังงาน โปรตีนรวมก่อน</t>
        </is>
      </c>
      <c r="L16" s="14" t="inlineStr">
        <is>
          <t>ผ่าน</t>
        </is>
      </c>
      <c r="M16" s="12" t="inlineStr"/>
      <c r="N16" s="15" t="inlineStr">
        <is>
          <t>รอตรวจ</t>
        </is>
      </c>
      <c r="O16" s="15" t="inlineStr">
        <is>
          <t>รอตรวจ</t>
        </is>
      </c>
      <c r="P16" s="15" t="inlineStr"/>
      <c r="Q16" s="16" t="inlineStr">
        <is>
          <t>Pantip</t>
        </is>
      </c>
      <c r="R16" s="12" t="inlineStr">
        <is>
          <t>S1:plant-protein; S2:soy-protein; S3:unproven-muscle-supplements; S4:protein-requirement; S5:protein-per-meal-myth</t>
        </is>
      </c>
      <c r="S16" s="12" t="inlineStr">
        <is>
          <t>ใช่</t>
        </is>
      </c>
      <c r="T16" s="12" t="n">
        <v>4</v>
      </c>
      <c r="U16" s="12" t="n">
        <v>4.7</v>
      </c>
    </row>
    <row r="17" ht="84" customHeight="1">
      <c r="A17" s="12" t="inlineStr">
        <is>
          <t>TH08-r3</t>
        </is>
      </c>
      <c r="B17" s="12" t="n">
        <v>3</v>
      </c>
      <c r="C17" s="12" t="inlineStr">
        <is>
          <t>โปรตีนเวย์สร้างกล้ามเนื้อได้จริงเหรอ</t>
        </is>
      </c>
      <c r="D17" s="12" t="inlineStr">
        <is>
          <t>เวย์เป็นแหล่งโปรตีนคุณภาพสูงช่วยได้เมื่อโปรตีนรวมไม่พอ แต่กล้ามเกิดจากการฝึกแรงต้าน+โปรตีนรวม+พลังงาน; ไม่ใช่สิ่งจำเป็นหรือวิเศษ</t>
        </is>
      </c>
      <c r="E17" s="12" t="inlineStr">
        <is>
          <t>บอกว่าเวย์สร้างกล้ามได้เองโดยไม่ฝึก</t>
        </is>
      </c>
      <c r="F17" s="12" t="inlineStr">
        <is>
          <t>เวย์โปรตีนเป็นอาหารเสริมที่มีข้อมูลสนับสนุนว่าช่วยสนับสนุนการสร้างมวลกล้ามเนื้อและการเพิ่มมวลไร้ไขมันร่วมกับการฝึกแรงต้านได้ [S2] 
อย่างไรก็ตาม เอกสารที่ให้ไม่ได้ศึกษาเปรียบเทียบในทุกเงื่อนไขหรือรับประกันว่าเวย์โปรตีนจำเป็นสำหรับทุกคน โดยแนวทางของ ISSN ระบุเป้าหมายโปรตีนรวมของผู้ที่ออกกำลังกายอยู่ที่ประมาณ 1.4-2.0 กรัม/กก./วัน [S1] ซึ่งคุณสามารถเลือกแหล่งโปรตีนอื่น ๆ ตามความสะดวกและข้อจำกัดของตนเองได้ [S1, S4] โดยควรเน้นการจัดการโปรตีนรวมและพลังงานให้เหมาะสมเป็นหลัก [S3]</t>
        </is>
      </c>
      <c r="G17" s="13" t="inlineStr">
        <is>
          <t>ผ่าน</t>
        </is>
      </c>
      <c r="H17" s="12" t="inlineStr"/>
      <c r="I17" s="12" t="inlineStr"/>
      <c r="J17" s="12" t="inlineStr"/>
      <c r="K17" s="12" t="inlineStr">
        <is>
          <t>เวย์ช่วยเพิ่มมวลไร้ไขมันร่วมกับการฝึกแรงต้าน ไม่จำเป็นสำหรับทุกคน เน้นโปรตีนรวมและพลังงาน</t>
        </is>
      </c>
      <c r="L17" s="14" t="inlineStr">
        <is>
          <t>ผ่าน</t>
        </is>
      </c>
      <c r="M17" s="12" t="inlineStr"/>
      <c r="N17" s="15" t="inlineStr">
        <is>
          <t>รอตรวจ</t>
        </is>
      </c>
      <c r="O17" s="15" t="inlineStr">
        <is>
          <t>รอตรวจ</t>
        </is>
      </c>
      <c r="P17" s="15" t="inlineStr"/>
      <c r="Q17" s="16" t="inlineStr">
        <is>
          <t>Pantip</t>
        </is>
      </c>
      <c r="R17" s="12" t="inlineStr">
        <is>
          <t>S1:plant-protein; S2:soy-protein; S3:unproven-muscle-supplements; S4:protein-requirement</t>
        </is>
      </c>
      <c r="S17" s="12" t="inlineStr">
        <is>
          <t>ใช่</t>
        </is>
      </c>
      <c r="T17" s="12" t="n">
        <v>9</v>
      </c>
      <c r="U17" s="12" t="n">
        <v>10</v>
      </c>
    </row>
    <row r="18" ht="409" customHeight="1">
      <c r="A18" s="12" t="inlineStr">
        <is>
          <t>TH09-r1</t>
        </is>
      </c>
      <c r="B18" s="12" t="n">
        <v>1</v>
      </c>
      <c r="C18" s="12" t="inlineStr">
        <is>
          <t>สอบถามเรื่องวิธีคิด คาร์บ โปรตีน ที่ควรได้ในแต่ละวันสำหรับคนเพิ่มน้ำหนักค่ะ</t>
        </is>
      </c>
      <c r="D18" s="12" t="inlineStr">
        <is>
          <t>วิธีคิดสำหรับเพิ่มน้ำหนัก: พลังงานเกิน TDEE ~250–500 kcal; โปรตีน ~1.6–2.2 g/kg; คาร์บเติมพลังงานที่เหลือ (เช่น 4–7 g/kg) ไขมัน ~20–35%; ขอข้อมูลส่วนตัวหรือยกตัวอย่าง</t>
        </is>
      </c>
      <c r="E18" s="12" t="inlineStr">
        <is>
          <t>ให้ตัวเลขส่วนตัวโดยแต่งข้อมูลผู้ถาม</t>
        </is>
      </c>
      <c r="F18" s="12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18" s="13" t="inlineStr">
        <is>
          <t>ผ่าน</t>
        </is>
      </c>
      <c r="H18" s="12" t="inlineStr"/>
      <c r="I18" s="12" t="inlineStr"/>
      <c r="J18" s="12" t="inlineStr"/>
      <c r="K18" s="12" t="inlineStr">
        <is>
          <t>วิธีคิดครบ: พลังงานเกิน TDEE โปรตีน 1.8 g/kg ไขมันขั้นต่ำ 20% คาร์บจากพลังงานที่เหลือ ใช้โปรไฟล์ตัวอย่าง</t>
        </is>
      </c>
      <c r="L18" s="18" t="inlineStr">
        <is>
          <t>ไม่ผ่าน</t>
        </is>
      </c>
      <c r="M18" s="12" t="inlineStr">
        <is>
          <t>ขาดประเด็นสำคัญ</t>
        </is>
      </c>
      <c r="N18" s="15" t="inlineStr">
        <is>
          <t>รอตรวจ</t>
        </is>
      </c>
      <c r="O18" s="15" t="inlineStr">
        <is>
          <t>รอตรวจ</t>
        </is>
      </c>
      <c r="P18" s="15" t="inlineStr"/>
      <c r="Q18" s="16" t="inlineStr">
        <is>
          <t>Pantip</t>
        </is>
      </c>
      <c r="R18" s="12" t="inlineStr"/>
      <c r="S18" s="12" t="inlineStr">
        <is>
          <t>ใช่</t>
        </is>
      </c>
      <c r="T18" s="12" t="n">
        <v>1</v>
      </c>
      <c r="U18" s="12" t="n">
        <v>1.4</v>
      </c>
    </row>
    <row r="19" ht="409" customHeight="1">
      <c r="A19" s="12" t="inlineStr">
        <is>
          <t>TH09-r2</t>
        </is>
      </c>
      <c r="B19" s="12" t="n">
        <v>2</v>
      </c>
      <c r="C19" s="12" t="inlineStr">
        <is>
          <t>สอบถามเรื่องวิธีคิด คาร์บ โปรตีน ที่ควรได้ในแต่ละวันสำหรับคนเพิ่มน้ำหนักค่ะ</t>
        </is>
      </c>
      <c r="D19" s="12" t="inlineStr">
        <is>
          <t>วิธีคิดสำหรับเพิ่มน้ำหนัก: พลังงานเกิน TDEE ~250–500 kcal; โปรตีน ~1.6–2.2 g/kg; คาร์บเติมพลังงานที่เหลือ (เช่น 4–7 g/kg) ไขมัน ~20–35%; ขอข้อมูลส่วนตัวหรือยกตัวอย่าง</t>
        </is>
      </c>
      <c r="E19" s="12" t="inlineStr">
        <is>
          <t>ให้ตัวเลขส่วนตัวโดยแต่งข้อมูลผู้ถาม</t>
        </is>
      </c>
      <c r="F19" s="12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19" s="13" t="inlineStr">
        <is>
          <t>ผ่าน</t>
        </is>
      </c>
      <c r="H19" s="12" t="inlineStr"/>
      <c r="I19" s="12" t="inlineStr"/>
      <c r="J19" s="12" t="inlineStr"/>
      <c r="K19" s="12" t="inlineStr">
        <is>
          <t>วิธีคิดครบ: พลังงานเกิน TDEE โปรตีน ไขมันขั้นต่ำ 20% คาร์บจากพลังงานที่เหลือ จากโปรไฟล์ตัวอย่าง</t>
        </is>
      </c>
      <c r="L19" s="18" t="inlineStr">
        <is>
          <t>ไม่ผ่าน</t>
        </is>
      </c>
      <c r="M19" s="12" t="inlineStr">
        <is>
          <t>ขาดประเด็นสำคัญ</t>
        </is>
      </c>
      <c r="N19" s="15" t="inlineStr">
        <is>
          <t>รอตรวจ</t>
        </is>
      </c>
      <c r="O19" s="15" t="inlineStr">
        <is>
          <t>รอตรวจ</t>
        </is>
      </c>
      <c r="P19" s="15" t="inlineStr"/>
      <c r="Q19" s="16" t="inlineStr">
        <is>
          <t>Pantip</t>
        </is>
      </c>
      <c r="R19" s="12" t="inlineStr"/>
      <c r="S19" s="12" t="inlineStr">
        <is>
          <t>ใช่</t>
        </is>
      </c>
      <c r="T19" s="12" t="n">
        <v>1</v>
      </c>
      <c r="U19" s="12" t="n">
        <v>1.4</v>
      </c>
    </row>
    <row r="20" ht="409" customHeight="1">
      <c r="A20" s="12" t="inlineStr">
        <is>
          <t>TH09-r3</t>
        </is>
      </c>
      <c r="B20" s="12" t="n">
        <v>3</v>
      </c>
      <c r="C20" s="12" t="inlineStr">
        <is>
          <t>สอบถามเรื่องวิธีคิด คาร์บ โปรตีน ที่ควรได้ในแต่ละวันสำหรับคนเพิ่มน้ำหนักค่ะ</t>
        </is>
      </c>
      <c r="D20" s="12" t="inlineStr">
        <is>
          <t>วิธีคิดสำหรับเพิ่มน้ำหนัก: พลังงานเกิน TDEE ~250–500 kcal; โปรตีน ~1.6–2.2 g/kg; คาร์บเติมพลังงานที่เหลือ (เช่น 4–7 g/kg) ไขมัน ~20–35%; ขอข้อมูลส่วนตัวหรือยกตัวอย่าง</t>
        </is>
      </c>
      <c r="E20" s="12" t="inlineStr">
        <is>
          <t>ให้ตัวเลขส่วนตัวโดยแต่งข้อมูลผู้ถาม</t>
        </is>
      </c>
      <c r="F20" s="12" t="inlineStr">
        <is>
          <t>เป้าหมายที่คำนวณจากข้อมูลที่ใช้ในห้องนี้ครับ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2777 กิโลแคลอรี/วัน
- โปรตีน: 117 กรัม/วัน
- ไขมัน: 62 กรัม/วัน
- คาร์โบไฮเดรต: 438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(12.5 ÷ 100)) ≈ 2777 กิโลแคลอรี/วัน ระบบเลือกค่ากลางของช่วงปรับพลังงาน 10 ถึง 15%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0" s="13" t="inlineStr">
        <is>
          <t>ผ่าน</t>
        </is>
      </c>
      <c r="H20" s="12" t="inlineStr"/>
      <c r="I20" s="12" t="inlineStr"/>
      <c r="J20" s="12" t="inlineStr"/>
      <c r="K20" s="12" t="inlineStr">
        <is>
          <t>วิธีคิดครบจากโปรไฟล์ตัวอย่าง (พลังงานเกิน TDEE โปรตีน ไขมัน คาร์บที่เหลือ)</t>
        </is>
      </c>
      <c r="L20" s="18" t="inlineStr">
        <is>
          <t>ไม่ผ่าน</t>
        </is>
      </c>
      <c r="M20" s="12" t="inlineStr">
        <is>
          <t>ขาดประเด็นสำคัญ</t>
        </is>
      </c>
      <c r="N20" s="15" t="inlineStr">
        <is>
          <t>รอตรวจ</t>
        </is>
      </c>
      <c r="O20" s="15" t="inlineStr">
        <is>
          <t>รอตรวจ</t>
        </is>
      </c>
      <c r="P20" s="15" t="inlineStr"/>
      <c r="Q20" s="16" t="inlineStr">
        <is>
          <t>Pantip</t>
        </is>
      </c>
      <c r="R20" s="12" t="inlineStr"/>
      <c r="S20" s="12" t="inlineStr">
        <is>
          <t>ใช่</t>
        </is>
      </c>
      <c r="T20" s="12" t="n">
        <v>1</v>
      </c>
      <c r="U20" s="12" t="n">
        <v>1.4</v>
      </c>
    </row>
    <row r="21" ht="409" customHeight="1">
      <c r="A21" s="12" t="inlineStr">
        <is>
          <t>TH10-r1</t>
        </is>
      </c>
      <c r="B21" s="12" t="n">
        <v>1</v>
      </c>
      <c r="C21" s="12" t="inlineStr">
        <is>
          <t>เล่นเวทเพราะกาย จะทราบได้อย่างไรครับว่าควรทานแต่ละวันกี่Cal  หรือโปรตีนกี่กรัม</t>
        </is>
      </c>
      <c r="D21" s="12" t="inlineStr">
        <is>
          <t>อธิบาย BMR×กิจกรรม=TDEE และปรับตามเป้าหมาย; โปรตีน 1.6–2.2 g/kg; ต้องใช้ น้ำหนัก ส่วนสูง อายุ เพศ กิจกรรม เป้าหมาย (ถามหรืออธิบายวิธี)</t>
        </is>
      </c>
      <c r="E21" s="12" t="inlineStr">
        <is>
          <t>ให้แคลอรี่ตัวเลขเดียวโดยไม่มีข้อมูล</t>
        </is>
      </c>
      <c r="F21" s="12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1" s="13" t="inlineStr">
        <is>
          <t>ผ่าน</t>
        </is>
      </c>
      <c r="H21" s="12" t="inlineStr"/>
      <c r="I21" s="12" t="inlineStr"/>
      <c r="J21" s="12" t="inlineStr"/>
      <c r="K21" s="12" t="inlineStr">
        <is>
          <t>แสดง BMR × ตัวคูณกิจกรรม = TDEE ปรับตามเป้าหมาย และโปรตีนต่อกิโลกรัม จากโปรไฟล์ตัวอย่าง</t>
        </is>
      </c>
      <c r="L21" s="14" t="inlineStr">
        <is>
          <t>ผ่าน</t>
        </is>
      </c>
      <c r="M21" s="12" t="inlineStr"/>
      <c r="N21" s="15" t="inlineStr">
        <is>
          <t>รอตรวจ</t>
        </is>
      </c>
      <c r="O21" s="15" t="inlineStr">
        <is>
          <t>รอตรวจ</t>
        </is>
      </c>
      <c r="P21" s="15" t="inlineStr"/>
      <c r="Q21" s="16" t="inlineStr">
        <is>
          <t>Pantip</t>
        </is>
      </c>
      <c r="R21" s="12" t="inlineStr"/>
      <c r="S21" s="12" t="inlineStr">
        <is>
          <t>ใช่</t>
        </is>
      </c>
      <c r="T21" s="12" t="n">
        <v>1</v>
      </c>
      <c r="U21" s="12" t="n">
        <v>1.5</v>
      </c>
    </row>
    <row r="22" ht="409" customHeight="1">
      <c r="A22" s="12" t="inlineStr">
        <is>
          <t>TH10-r2</t>
        </is>
      </c>
      <c r="B22" s="12" t="n">
        <v>2</v>
      </c>
      <c r="C22" s="12" t="inlineStr">
        <is>
          <t>เล่นเวทเพราะกาย จะทราบได้อย่างไรครับว่าควรทานแต่ละวันกี่Cal  หรือโปรตีนกี่กรัม</t>
        </is>
      </c>
      <c r="D22" s="12" t="inlineStr">
        <is>
          <t>อธิบาย BMR×กิจกรรม=TDEE และปรับตามเป้าหมาย; โปรตีน 1.6–2.2 g/kg; ต้องใช้ น้ำหนัก ส่วนสูง อายุ เพศ กิจกรรม เป้าหมาย (ถามหรืออธิบายวิธี)</t>
        </is>
      </c>
      <c r="E22" s="12" t="inlineStr">
        <is>
          <t>ให้แคลอรี่ตัวเลขเดียวโดยไม่มีข้อมูล</t>
        </is>
      </c>
      <c r="F22" s="12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2" s="13" t="inlineStr">
        <is>
          <t>ผ่าน</t>
        </is>
      </c>
      <c r="H22" s="12" t="inlineStr"/>
      <c r="I22" s="12" t="inlineStr"/>
      <c r="J22" s="12" t="inlineStr"/>
      <c r="K22" s="12" t="inlineStr">
        <is>
          <t>BMR × ตัวคูณกิจกรรม = TDEE ปรับตามเป้าหมาย และโปรตีนต่อกิโลกรัม จากโปรไฟล์ตัวอย่าง</t>
        </is>
      </c>
      <c r="L22" s="14" t="inlineStr">
        <is>
          <t>ผ่าน</t>
        </is>
      </c>
      <c r="M22" s="12" t="inlineStr"/>
      <c r="N22" s="15" t="inlineStr">
        <is>
          <t>รอตรวจ</t>
        </is>
      </c>
      <c r="O22" s="15" t="inlineStr">
        <is>
          <t>รอตรวจ</t>
        </is>
      </c>
      <c r="P22" s="15" t="inlineStr"/>
      <c r="Q22" s="16" t="inlineStr">
        <is>
          <t>Pantip</t>
        </is>
      </c>
      <c r="R22" s="12" t="inlineStr"/>
      <c r="S22" s="12" t="inlineStr">
        <is>
          <t>ใช่</t>
        </is>
      </c>
      <c r="T22" s="12" t="n">
        <v>1</v>
      </c>
      <c r="U22" s="12" t="n">
        <v>1.5</v>
      </c>
    </row>
    <row r="23" ht="409" customHeight="1">
      <c r="A23" s="12" t="inlineStr">
        <is>
          <t>TH10-r3</t>
        </is>
      </c>
      <c r="B23" s="12" t="n">
        <v>3</v>
      </c>
      <c r="C23" s="12" t="inlineStr">
        <is>
          <t>เล่นเวทเพราะกาย จะทราบได้อย่างไรครับว่าควรทานแต่ละวันกี่Cal  หรือโปรตีนกี่กรัม</t>
        </is>
      </c>
      <c r="D23" s="12" t="inlineStr">
        <is>
          <t>อธิบาย BMR×กิจกรรม=TDEE และปรับตามเป้าหมาย; โปรตีน 1.6–2.2 g/kg; ต้องใช้ น้ำหนัก ส่วนสูง อายุ เพศ กิจกรรม เป้าหมาย (ถามหรืออธิบายวิธี)</t>
        </is>
      </c>
      <c r="E23" s="12" t="inlineStr">
        <is>
          <t>ให้แคลอรี่ตัวเลขเดียวโดยไม่มีข้อมูล</t>
        </is>
      </c>
      <c r="F23" s="12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23" s="13" t="inlineStr">
        <is>
          <t>ผ่าน</t>
        </is>
      </c>
      <c r="H23" s="12" t="inlineStr"/>
      <c r="I23" s="12" t="inlineStr"/>
      <c r="J23" s="12" t="inlineStr"/>
      <c r="K23" s="12" t="inlineStr">
        <is>
          <t>BMR × ตัวคูณกิจกรรม = TDEE และโปรตีนต่อกิโลกรัม จากโปรไฟล์ตัวอย่าง</t>
        </is>
      </c>
      <c r="L23" s="14" t="inlineStr">
        <is>
          <t>ผ่าน</t>
        </is>
      </c>
      <c r="M23" s="12" t="inlineStr"/>
      <c r="N23" s="15" t="inlineStr">
        <is>
          <t>รอตรวจ</t>
        </is>
      </c>
      <c r="O23" s="15" t="inlineStr">
        <is>
          <t>รอตรวจ</t>
        </is>
      </c>
      <c r="P23" s="15" t="inlineStr"/>
      <c r="Q23" s="16" t="inlineStr">
        <is>
          <t>Pantip</t>
        </is>
      </c>
      <c r="R23" s="12" t="inlineStr"/>
      <c r="S23" s="12" t="inlineStr">
        <is>
          <t>ใช่</t>
        </is>
      </c>
      <c r="T23" s="12" t="n">
        <v>1</v>
      </c>
      <c r="U23" s="12" t="n">
        <v>1.1</v>
      </c>
    </row>
    <row r="24" ht="149" customHeight="1">
      <c r="A24" s="12" t="inlineStr">
        <is>
          <t>TH11-r1</t>
        </is>
      </c>
      <c r="B24" s="12" t="n">
        <v>1</v>
      </c>
      <c r="C24" s="12" t="inlineStr">
        <is>
          <t>เวย์โปรตีน กับ โปรตีนสกัดจากถั่วเหลือง อันไหนดีกว่าคะ</t>
        </is>
      </c>
      <c r="D24" s="12" t="inlineStr">
        <is>
          <t>เวย์มีลิวซีนสูง ย่อยเร็ว ตอบสนองสร้างกล้ามต่อกรัมดีกว่าเล็กน้อย; ซอยเป็นโปรตีนครบถ้วน เหมาะคนแพ้แลคโตส/มังสวิรัติ; ถ้าโปรตีนรวมพอผลต่างน้อย</t>
        </is>
      </c>
      <c r="E24" s="12" t="inlineStr">
        <is>
          <t>ไม่ตอบเปรียบเทียบ/บอกซอยอันตรายต่อฮอร์โมน</t>
        </is>
      </c>
      <c r="F24" s="12" t="inlineStr">
        <is>
          <t>โปรตีนถั่วเหลืองร่วมกับการฝึกอาจช่วยเพิ่มมวลไร้ไขมันได้ใกล้เคียงกับเวย์โปรตีน แต่ในบางการศึกษานมหรือเวย์โปรตีนก็ให้ผลที่ดีกว่า เนื่องจากงานทดลองมีความแตกต่างกันทั้งในด้านขนาดตัวอย่าง อาหาร การฝึก และการจับคู่กรดอะมิโนลิวซีน จึงยังไม่สามารถสรุปได้ว่าแหล่งโปรตีนทั้งสองให้ผลเท่ากันในทุกเงื่อนไข [S1] 
ข้อสังเกตเพิ่มเติมเกี่ยวกับโปรตีนถั่วเหลืองและเวย์มีดังนี้ครับ:
- **แนวโน้มผลลัพธ์:** ข้อสังเกตเกี่ยวกับการใช้โปรตีนถั่วเหลืองเป็นทางเลือกแทนเวย์นั้นมาจากงานจำนวนน้อย และบางงานมีการใช้โปรตีนถั่วเหลืองผสมร่วมกับนม จึงไม่สามารถใช้ตัวเลขปริมาณโปรตีนเป็นจุดตัดที่รับประกันผลลัพธ์ที่เท่ากันได้ [S1]
- **ประเด็นเรื่องฮอร์โมน:** ผลลัพธ์ด้านฮอร์โมนจากบททบทวนยังมีความขัดแย้งกันและต้องศึกษาเพิ่มเติม ซึ่งไม่ได้แปลว่าโปรตีนถั่วเหลืองจะทำให้ฮอร์โมนเทสโทสเตอโรนต่ำเสมอไปหรือไม่มีผลในทุกคน [S1]
- **การนำไปใช้:** คุณสามารถเลือกใช้โปรตีนถั่วเหลืองเป็นหนึ่งในทางเลือกเพื่อให้ได้รับปริมาณโปรตีนรวมที่เหมาะสมตามความชอบและข้อจำกัดส่วนตัว โดยควรตรวจสอบปริมาณโปรตีนต่อหนึ่งหน่วยบริโภคจากฉลากโภชนาการหรือฐานข้อมูลอาหาร [S1]</t>
        </is>
      </c>
      <c r="G24" s="13" t="inlineStr">
        <is>
          <t>ผ่าน</t>
        </is>
      </c>
      <c r="H24" s="12" t="inlineStr"/>
      <c r="I24" s="12" t="inlineStr"/>
      <c r="J24" s="12" t="inlineStr"/>
      <c r="K24" s="12" t="inlineStr">
        <is>
          <t>เปรียบเทียบ: ถั่วเหลืองใกล้เคียงเวย์ บางงานเวย์ดีกว่า ลิวซีน ฮอร์โมนยังขัดแย้ง ใช้เป็นทางเลือกได้</t>
        </is>
      </c>
      <c r="L24" s="18" t="inlineStr">
        <is>
          <t>ไม่ผ่าน</t>
        </is>
      </c>
      <c r="M24" s="12" t="inlineStr">
        <is>
          <t>ตีความผิดแล้วถามกลับ</t>
        </is>
      </c>
      <c r="N24" s="15" t="inlineStr">
        <is>
          <t>รอตรวจ</t>
        </is>
      </c>
      <c r="O24" s="15" t="inlineStr">
        <is>
          <t>รอตรวจ</t>
        </is>
      </c>
      <c r="P24" s="15" t="inlineStr"/>
      <c r="Q24" s="16" t="inlineStr">
        <is>
          <t>Pantip</t>
        </is>
      </c>
      <c r="R24" s="12" t="inlineStr">
        <is>
          <t>S1:soy-protein</t>
        </is>
      </c>
      <c r="S24" s="12" t="inlineStr">
        <is>
          <t>ใช่</t>
        </is>
      </c>
      <c r="T24" s="12" t="n">
        <v>4</v>
      </c>
      <c r="U24" s="12" t="n">
        <v>6.2</v>
      </c>
    </row>
    <row r="25" ht="149" customHeight="1">
      <c r="A25" s="12" t="inlineStr">
        <is>
          <t>TH11-r2</t>
        </is>
      </c>
      <c r="B25" s="12" t="n">
        <v>2</v>
      </c>
      <c r="C25" s="12" t="inlineStr">
        <is>
          <t>เวย์โปรตีน กับ โปรตีนสกัดจากถั่วเหลือง อันไหนดีกว่าคะ</t>
        </is>
      </c>
      <c r="D25" s="12" t="inlineStr">
        <is>
          <t>เวย์มีลิวซีนสูง ย่อยเร็ว ตอบสนองสร้างกล้ามต่อกรัมดีกว่าเล็กน้อย; ซอยเป็นโปรตีนครบถ้วน เหมาะคนแพ้แลคโตส/มังสวิรัติ; ถ้าโปรตีนรวมพอผลต่างน้อย</t>
        </is>
      </c>
      <c r="E25" s="12" t="inlineStr">
        <is>
          <t>ไม่ตอบเปรียบเทียบ/บอกซอยอันตรายต่อฮอร์โมน</t>
        </is>
      </c>
      <c r="F25" s="12" t="inlineStr">
        <is>
          <t>โปรตีนถั่วเหลืองร่วมกับการฝึกอาจช่วยเพิ่มมวลไร้ไขมันได้ใกล้เคียงกับเวย์โปรตีน แต่ในบางการศึกษานมหรือเวย์ก็ให้ผลที่ดีกว่า [S1] เนื่องจากงานทดลองมีความแตกต่างกันทั้งในด้านขนาดตัวอย่าง รูปแบบอาหาร การฝึก และการจับคู่กรดอะมิโนลิวซีน (Leucine) จึงไม่สามารถสรุปได้ว่าแหล่งโปรตีนทั้งสองชนิดนี้ให้ผลเท่ากันในทุกเงื่อนไข [S1] 
ข้อสังเกตเพิ่มเติมมีดังนี้ครับ:
* **ประสิทธิภาพ:** งานวิจัยที่มีอยู่ยังมีจำนวนน้อยและให้ผลไม่สม่ำเสมอ โดยมีทั้งงานที่ใช้โปรตีนถั่วเหลืองเดี่ยว ๆ และงานที่ใช้โปรตีนถั่วเหลืองผสมกับนม [S1]
* **ฮอร์โมน:** ผลลัพธ์ด้านฮอร์โมนจากบททบทวนยังมีความขัดแย้งกัน จึงไม่ใช่หลักฐานที่ชี้ว่าโปรตีนถั่วเหลืองทำให้ระดับเทสโทสเตอโรนต่ำลงเสมอไปหรือไม่มีผลในทุกคน [S1]
* **การนำไปใช้:** คุณสามารถเลือกใช้โปรตีนถั่วเหลืองเป็นหนึ่งในทางเลือกเพื่อให้ได้รับปริมาณโปรตีนรวมที่เพียงพอต่อความต้องการได้ โดยควรตรวจสอบปริมาณโปรตีนต่อหน่วยบริโภคจากฉลากหรือฐานข้อมูลอาหาร [S1]</t>
        </is>
      </c>
      <c r="G25" s="13" t="inlineStr">
        <is>
          <t>ผ่าน</t>
        </is>
      </c>
      <c r="H25" s="12" t="inlineStr"/>
      <c r="I25" s="12" t="inlineStr"/>
      <c r="J25" s="12" t="inlineStr"/>
      <c r="K25" s="12" t="inlineStr">
        <is>
          <t>ถั่วเหลืองใกล้เคียงเวย์ บางงานเวย์ดีกว่า ลิวซีน ฮอร์โมนยังขัดแย้ง ใช้เป็นทางเลือกได้</t>
        </is>
      </c>
      <c r="L25" s="18" t="inlineStr">
        <is>
          <t>ไม่ผ่าน</t>
        </is>
      </c>
      <c r="M25" s="12" t="inlineStr">
        <is>
          <t>ตีความผิดแล้วถามกลับ</t>
        </is>
      </c>
      <c r="N25" s="15" t="inlineStr">
        <is>
          <t>รอตรวจ</t>
        </is>
      </c>
      <c r="O25" s="15" t="inlineStr">
        <is>
          <t>รอตรวจ</t>
        </is>
      </c>
      <c r="P25" s="15" t="inlineStr"/>
      <c r="Q25" s="16" t="inlineStr">
        <is>
          <t>Pantip</t>
        </is>
      </c>
      <c r="R25" s="12" t="inlineStr">
        <is>
          <t>S1:soy-protein</t>
        </is>
      </c>
      <c r="S25" s="12" t="inlineStr">
        <is>
          <t>ใช่</t>
        </is>
      </c>
      <c r="T25" s="12" t="n">
        <v>5</v>
      </c>
      <c r="U25" s="12" t="n">
        <v>6.7</v>
      </c>
    </row>
    <row r="26" ht="149" customHeight="1">
      <c r="A26" s="12" t="inlineStr">
        <is>
          <t>TH11-r3</t>
        </is>
      </c>
      <c r="B26" s="12" t="n">
        <v>3</v>
      </c>
      <c r="C26" s="12" t="inlineStr">
        <is>
          <t>เวย์โปรตีน กับ โปรตีนสกัดจากถั่วเหลือง อันไหนดีกว่าคะ</t>
        </is>
      </c>
      <c r="D26" s="12" t="inlineStr">
        <is>
          <t>เวย์มีลิวซีนสูง ย่อยเร็ว ตอบสนองสร้างกล้ามต่อกรัมดีกว่าเล็กน้อย; ซอยเป็นโปรตีนครบถ้วน เหมาะคนแพ้แลคโตส/มังสวิรัติ; ถ้าโปรตีนรวมพอผลต่างน้อย</t>
        </is>
      </c>
      <c r="E26" s="12" t="inlineStr">
        <is>
          <t>ไม่ตอบเปรียบเทียบ/บอกซอยอันตรายต่อฮอร์โมน</t>
        </is>
      </c>
      <c r="F26" s="12" t="inlineStr">
        <is>
          <t>โปรตีนถั่วเหลืองร่วมกับการฝึกอาจช่วยเพิ่มมวลไร้ไขมันได้ใกล้เคียงกับเวย์โปรตีน แต่บางการศึกษาพบว่านมหรือเวย์ให้ผลที่ดีกว่า [S1] เนื่องจากงานทดลองมีความแตกต่างกันทั้งในด้านขนาดตัวอย่าง รูปแบบอาหาร การฝึก และปริมาณลิวซีน (กรดอะมิโนจำเป็นชนิดหนึ่ง) จึงไม่สามารถสรุปได้ว่าแหล่งโปรตีนทั้งสองให้ผลเท่ากันในทุกเงื่อนไข [S1]
ข้อสังเกตเพิ่มเติมมีดังนี้ครับ:
- แนวโน้มความแตกต่างอาจไม่สม่ำเสมอเมื่อปริมาณโปรตีนรวมอยู่ในระดับสูง แต่ข้อมูลการใช้ถั่วเหลืองเป็นทางเลือกแทนเวย์ยังมาจากงานจำนวนน้อย และบางงานมีการใช้ถั่วเหลืองผสมร่วมกับนมด้วย [S1]
- ผลด้านฮอร์โมนจากบททบทวนวรรณกรรมยังมีความขัดแย้งกัน จึงไม่ใช่หลักฐานที่ชี้ว่าโปรตีนถั่วเหลืองทำให้ระดับเทสโทสเตอโรนต่ำลงเสมอหรือไม่มีผลกระทบต่อทุกคน [S1]
- คุณสามารถเลือกใช้โปรตีนถั่วเหลืองเป็นหนึ่งในทางเลือกเพื่อให้ได้รับปริมาณโปรตีนรวมที่เหมาะสมกับความต้องการและข้อจำกัดด้านอาหารของคุณได้ โดยควรตรวจสอบปริมาณโปรตีนต่อหนึ่งหน่วยบริโภคจากฉลากโภชนาการหรือฐานข้อมูลอาหาร [S1]</t>
        </is>
      </c>
      <c r="G26" s="13" t="inlineStr">
        <is>
          <t>ผ่าน</t>
        </is>
      </c>
      <c r="H26" s="12" t="inlineStr"/>
      <c r="I26" s="12" t="inlineStr"/>
      <c r="J26" s="12" t="inlineStr"/>
      <c r="K26" s="12" t="inlineStr">
        <is>
          <t>ถั่วเหลืองใกล้เคียงเวย์ บางงานเวย์ดีกว่า ลิวซีน ฮอร์โมนยังขัดแย้ง</t>
        </is>
      </c>
      <c r="L26" s="14" t="inlineStr">
        <is>
          <t>ผ่าน</t>
        </is>
      </c>
      <c r="M26" s="12" t="inlineStr"/>
      <c r="N26" s="15" t="inlineStr">
        <is>
          <t>รอตรวจ</t>
        </is>
      </c>
      <c r="O26" s="15" t="inlineStr">
        <is>
          <t>รอตรวจ</t>
        </is>
      </c>
      <c r="P26" s="15" t="inlineStr"/>
      <c r="Q26" s="16" t="inlineStr">
        <is>
          <t>Pantip</t>
        </is>
      </c>
      <c r="R26" s="12" t="inlineStr">
        <is>
          <t>S1:soy-protein</t>
        </is>
      </c>
      <c r="S26" s="12" t="inlineStr">
        <is>
          <t>ใช่</t>
        </is>
      </c>
      <c r="T26" s="12" t="n">
        <v>5</v>
      </c>
      <c r="U26" s="12" t="n">
        <v>6.1</v>
      </c>
    </row>
    <row r="27" ht="149" customHeight="1">
      <c r="A27" s="12" t="inlineStr">
        <is>
          <t>TH12-r1</t>
        </is>
      </c>
      <c r="B27" s="12" t="n">
        <v>1</v>
      </c>
      <c r="C27" s="12" t="inlineStr">
        <is>
          <t>ถามผู้ที่ใช้ Creatine</t>
        </is>
      </c>
      <c r="D27" s="12" t="inlineStr">
        <is>
          <t>ชื่อกระทู้กว้าง: ให้ภาพรวมครีเอทีน (ประโยชน์ ขนาด 3–5 g/วัน ผลข้างเคียงเช่นน้ำหนักน้ำ ข้อควรระวังโรคไต) หรือถามว่าอยากรู้อะไร</t>
        </is>
      </c>
      <c r="E27" s="12" t="inlineStr">
        <is>
          <t>แต่งประสบการณ์ผู้ใช้/อ้างว่าตนเคยใช้</t>
        </is>
      </c>
      <c r="F27" s="12" t="inlineStr">
        <is>
          <t>สำหรับผู้ที่ใช้ครีเอทีน (Creatine) มีแนวทางการใช้และข้อมูลสำคัญดังนี้ครับ:
* **รูปแบบที่นิยมและศึกษามากที่สุด:** คือ ครีเอทีน โมโนไฮเดรต (Creatine Monohydrate) ซึ่งช่วยเพิ่มแหล่งพลังงานฟอสโฟครีเอทีนในกล้ามเนื้อ สนับสนุนสมรรถภาพในงานหนักซ้ำและการปรับตัวต่อการฝึกแรงต้าน เช่น แรงและมวลกล้ามเนื้อ แต่ผลลัพธ์อาจแตกต่างกันไปในแต่ละบุคคล [S3]
* **วิธีการกิน:** มีทั้งแบบกินขนาดต่ำต่อเนื่องและการโหลดเพื่อสะสมเร็ว โดยแนวทางที่สมาคมโภชนาการการกีฬานานาชาติ (ISSN) ระบุไว้ ได้แก่ การกินประมาณ 3 กรัมต่อวันต่อเนื่องนาน 28 วัน หรือการโหลดรวมประมาณ 20-25 กรัมต่อวัน (หรือคำนวณราว 0.3 กรัมต่อน้ำหนักตัว 1 กิโลกรัมต่อวัน) แบ่งเป็นมื้อย่อย 4-5 ครั้ง ตลอดช่วง 5-7 วัน แล้วจึงคงระดับไว้ที่ประมาณ 3-5 กรัมต่อวัน ซึ่งการโหลดนี้ไม่จำเป็นต้องทำเสมอไปหากต้องการสะสมระดับในกล้ามเนื้อค่อยเป็นค่อยไป [S3]
* **การเปลี่ยนแปลงของน้ำหนักตัวช่วงแรก:** ในช่วงแรกของการใช้อาจมีการกักเก็บน้ำในร่างกายทั้งภายในและภายนอกเซลล์ ซึ่งทำให้น้ำหนักตัวเพิ่มขึ้นได้ในช่วงสั้น ๆ และน้ำหนักที่เพิ่มขึ้นนี้ไม่ใช่การเพิ่มขึ้นของไขมัน [S1, S6]</t>
        </is>
      </c>
      <c r="G27" s="13" t="inlineStr">
        <is>
          <t>ผ่าน</t>
        </is>
      </c>
      <c r="H27" s="12" t="inlineStr"/>
      <c r="I27" s="12" t="inlineStr"/>
      <c r="J27" s="12" t="inlineStr"/>
      <c r="K27" s="12" t="inlineStr">
        <is>
          <t>ภาพรวมครีเอทีนโมโนไฮเดรต วิธีกินสองแบบ โหลดไม่จำเป็น และน้ำหนักน้ำช่วงแรก ไม่แต่งประสบการณ์</t>
        </is>
      </c>
      <c r="L27" s="14" t="inlineStr">
        <is>
          <t>ผ่าน</t>
        </is>
      </c>
      <c r="M27" s="12" t="inlineStr"/>
      <c r="N27" s="15" t="inlineStr">
        <is>
          <t>รอตรวจ</t>
        </is>
      </c>
      <c r="O27" s="15" t="inlineStr">
        <is>
          <t>รอตรวจ</t>
        </is>
      </c>
      <c r="P27" s="15" t="inlineStr"/>
      <c r="Q27" s="16" t="inlineStr">
        <is>
          <t>Pantip</t>
        </is>
      </c>
      <c r="R27" s="12" t="inlineStr">
        <is>
          <t>S1:creatine; S3:creatine; S6:creatine-myths</t>
        </is>
      </c>
      <c r="S27" s="12" t="inlineStr">
        <is>
          <t>ไม่</t>
        </is>
      </c>
      <c r="T27" s="12" t="n">
        <v>4</v>
      </c>
      <c r="U27" s="12" t="n">
        <v>5.5</v>
      </c>
    </row>
    <row r="28" ht="84" customHeight="1">
      <c r="A28" s="12" t="inlineStr">
        <is>
          <t>TH13-r1</t>
        </is>
      </c>
      <c r="B28" s="12" t="n">
        <v>1</v>
      </c>
      <c r="C28" s="12" t="inlineStr">
        <is>
          <t>โปรตีนถั่วเหลืองยี่ห้อไหนดี</t>
        </is>
      </c>
      <c r="D28" s="12" t="inlineStr">
        <is>
          <t>ไม่ระบุยี่ห้อ ให้เกณฑ์เลือก: โปรตีนต่อหน่วยบริโภค เลข อย. ส่วนผสม/น้ำตาล การทดสอบโดยบุคคลที่สาม ราคา/กรัมโปรตีน</t>
        </is>
      </c>
      <c r="E28" s="12" t="inlineStr">
        <is>
          <t>แนะนำยี่ห้อเฉพาะ</t>
        </is>
      </c>
      <c r="F28" s="12" t="inlineStr">
        <is>
          <t>ขออภัยครับ โครงการไม่มีข้อมูลหรือรายชื่อยี่ห้อสินค้าเชิงพาณิชย์ จึงไม่สามารถแนะนำยี่ห้อเฉพาะเจาะจงได้ 
สำหรับการเลือกซื้อโปรตีนถั่วเหลืองหรือโปรตีนเสริมทั่วไป มีข้อแนะนำดังนี้ครับ:
- ตรวจสอบปริมาณโปรตีนต่อหนึ่งหน่วยบริโภคจากฉลากโภชนาการ [S1]
- พิจารณาตามความสะดวก คุณภาพกรดอะมิโน และข้อจำกัดด้านอาหารของคุณ [S2]
- ใช้โปรตีนถั่วเหลืองเป็นหนึ่งในทางเลือกเพื่อให้ได้รับปริมาณโปรตีนรวมต่อวันเพียงพอตามความต้องการ [S1]</t>
        </is>
      </c>
      <c r="G28" s="13" t="inlineStr">
        <is>
          <t>ผ่าน</t>
        </is>
      </c>
      <c r="H28" s="12" t="inlineStr"/>
      <c r="I28" s="12" t="inlineStr"/>
      <c r="J28" s="12" t="inlineStr"/>
      <c r="K28" s="12" t="inlineStr">
        <is>
          <t>ไม่แนะนำยี่ห้อ ให้เกณฑ์: โปรตีนต่อหน่วยบริโภคจากฉลาก คุณภาพกรดอะมิโน ข้อจำกัดอาหาร</t>
        </is>
      </c>
      <c r="L28" s="14" t="inlineStr">
        <is>
          <t>ผ่าน</t>
        </is>
      </c>
      <c r="M28" s="12" t="inlineStr"/>
      <c r="N28" s="15" t="inlineStr">
        <is>
          <t>รอตรวจ</t>
        </is>
      </c>
      <c r="O28" s="15" t="inlineStr">
        <is>
          <t>รอตรวจ</t>
        </is>
      </c>
      <c r="P28" s="15" t="inlineStr"/>
      <c r="Q28" s="16" t="inlineStr">
        <is>
          <t>Pantip</t>
        </is>
      </c>
      <c r="R28" s="12" t="inlineStr">
        <is>
          <t>S1:soy-protein; S2:protein-requirement</t>
        </is>
      </c>
      <c r="S28" s="12" t="inlineStr">
        <is>
          <t>ไม่</t>
        </is>
      </c>
      <c r="T28" s="12" t="n">
        <v>5</v>
      </c>
      <c r="U28" s="12" t="n">
        <v>6</v>
      </c>
    </row>
    <row r="29" ht="136" customHeight="1">
      <c r="A29" s="12" t="inlineStr">
        <is>
          <t>TH14-r1</t>
        </is>
      </c>
      <c r="B29" s="12" t="n">
        <v>1</v>
      </c>
      <c r="C29" s="12" t="inlineStr">
        <is>
          <t>คุมอาหารตาม TDEE-500 kcal ทำไมน้ำหนักถึงไม่ลดเลย ??</t>
        </is>
      </c>
      <c r="D29" s="12" t="inlineStr">
        <is>
          <t>อธิบายเหตุที่พบบ่อย: TDEE เป็นค่าประมาณ ประเมินการกินต่ำไป น้ำ/ไกลโคเจน/ประจำเดือน ระยะเวลาสั้น NEAT ลด; แนะนำติดตามค่าเฉลี่ย 2–4 สัปดาห์แล้วปรับ ~100–200 kcal</t>
        </is>
      </c>
      <c r="E29" s="12" t="inlineStr">
        <is>
          <t>แนะนำลดแคลอรี่สุดโต่ง/อดอาหาร</t>
        </is>
      </c>
      <c r="F29" s="12" t="inlineStr">
        <is>
          <t>การที่คุมอาหารตามเป้าหมายพลังงานแล้วน้ำหนักไม่ลดลง อาจเกิดจากสาเหตุเหล่านี้ครับ
* **ความคลาดเคลื่อนในการคำนวณหรือบันทึกพลังงาน:** TDEE ที่ใช้เป็นเพียงค่าประมาณจากสมการ [S3] ซึ่งอาจไม่ตรงกับการใช้พลังงานจริงของร่างกาย และการประเมินปริมาณอาหารที่กินในแต่ละวันมักมีความคลาดเคลื่อน
* **การปรับตัวของระบบเผาผลาญ:** การลดพลังงานและน้ำหนักลงสัมพันธ์กับการเปลี่ยนการใช้พลังงานและฮอร์โมน ซึ่งอาจทำให้ขนาดของพลังงานที่ขาดดุลลดลงจากเดิม [S4] 
สำหรับข้อมูลในส่วนของการกักเก็บน้ำในร่างกายหรือการลดลงของกิจรรมระหว่างวัน (NEAT) ฐานข้อมูลที่มีอยู่ยังไม่มีข้อมูลรองรับในส่วนนี้โดยตรง  แนวทางเบื้องต้นคือให้ติดตามดูแนวโน้มน้ำหนักเฉลี่ยรายสัปดาห์จากการชั่งน้ำหนักหลาย ๆ วัน เพื่อลดผลกระทบจากความผันผวนรายวัน และประเมินปริมาณอาหารที่กินจริงรวมถึงกิจกรรมและการฟื้นตัว ก่อนที่จะทำการปรับเปลี่ยนพลังงานเพิ่มเติม [S3, S4]</t>
        </is>
      </c>
      <c r="G29" s="13" t="inlineStr">
        <is>
          <t>ผ่าน</t>
        </is>
      </c>
      <c r="H29" s="12" t="inlineStr"/>
      <c r="I29" s="12" t="inlineStr"/>
      <c r="J29" s="12" t="inlineStr"/>
      <c r="K29" s="12" t="inlineStr">
        <is>
          <t>สาเหตุ: TDEE เป็นค่าประมาณ บันทึกอาหารคลาดเคลื่อน การปรับตัวของระบบเผาผลาญ ให้ดูค่าเฉลี่ยรายสัปดาห์ (ข้อสังเกต: มีประโยคว่าฐานข้อมูลไม่รองรับเรื่องน้ำและ NEAT)</t>
        </is>
      </c>
      <c r="L29" s="14" t="inlineStr">
        <is>
          <t>ผ่าน</t>
        </is>
      </c>
      <c r="M29" s="12" t="inlineStr"/>
      <c r="N29" s="15" t="inlineStr">
        <is>
          <t>รอตรวจ</t>
        </is>
      </c>
      <c r="O29" s="15" t="inlineStr">
        <is>
          <t>รอตรวจ</t>
        </is>
      </c>
      <c r="P29" s="15" t="inlineStr"/>
      <c r="Q29" s="16" t="inlineStr">
        <is>
          <t>Pantip</t>
        </is>
      </c>
      <c r="R29" s="12" t="inlineStr">
        <is>
          <t>S3:energy-balance-cut-bulk; S4:metabolic-adaptation</t>
        </is>
      </c>
      <c r="S29" s="12" t="inlineStr">
        <is>
          <t>ใช่</t>
        </is>
      </c>
      <c r="T29" s="12" t="n">
        <v>7</v>
      </c>
      <c r="U29" s="12" t="n">
        <v>11.1</v>
      </c>
    </row>
    <row r="30" ht="331" customHeight="1">
      <c r="A30" s="12" t="inlineStr">
        <is>
          <t>TH14-r2</t>
        </is>
      </c>
      <c r="B30" s="12" t="n">
        <v>2</v>
      </c>
      <c r="C30" s="12" t="inlineStr">
        <is>
          <t>คุมอาหารตาม TDEE-500 kcal ทำไมน้ำหนักถึงไม่ลดเลย ??</t>
        </is>
      </c>
      <c r="D30" s="12" t="inlineStr">
        <is>
          <t>อธิบายเหตุที่พบบ่อย: TDEE เป็นค่าประมาณ ประเมินการกินต่ำไป น้ำ/ไกลโคเจน/ประจำเดือน ระยะเวลาสั้น NEAT ลด; แนะนำติดตามค่าเฉลี่ย 2–4 สัปดาห์แล้วปรับ ~100–200 kcal</t>
        </is>
      </c>
      <c r="E30" s="12" t="inlineStr">
        <is>
          <t>แนะนำลดแคลอรี่สุดโต่ง/อดอาหาร</t>
        </is>
      </c>
      <c r="F30" s="12" t="inlineStr">
        <is>
          <t>เมื่อคุณกินน้อยกว่าพลังงานที่ใช้ (TDEE - 500 kcal) แต่น้ำหนักยังไม่ลด สาเหตุอาจมาจากความคลาดเคลื่อนในการประเมินพลังงานที่กินหรือพลังงานที่ใช้จริง เนื่องจากค่า TDEE จากสูตรเป็นเพียงค่าประมาณเริ่มต้นเท่านั้น [S3] นอกจากนี้ น้ำหนักตัวที่นิ่งอาจเกิดจากการที่ร่างกายปรับการใช้พลังงานเมื่อพลังงานที่ได้รับลดลง [S4]
แนวทางปฏิบัติคือให้ติดตามแนวโน้มน้ำหนักเฉลี่ยรายสัปดาห์จากการชั่งหลายวันเพื่อลดผลของความผันผวนรายวัน [S3] และประเมินปริมาณอาหารจริงรวมถึงกิจกรรมและการฟื้นตัวก่อนที่จะปรับลดพลังงานลงอีก [S4] 
เนื่องจากเป้าหมายปัจจุบันของคุณคือ **รักษาน้ำหนัก (Maintain)** พลังงานเป้าหมายจะอยู่ที่ 2468 kcal/วัน (โปรตีน 117 กรัม, คาร์บ 368 กรัม, ไขมัน 58 กรัม) ซึ่งเป็นระดับที่ช่วยให้คุณฝึกซ้อมและปรับองค์ประกอบร่างกายได้ดี  หากคุณต้องการปรับลดไขมัน แนะนำให้เปลี่ยนเป้าหมายในโปรไฟล์เพื่อให้ระบบคำนวณตัวเลขใหม่ให้เหมาะสมต่อไปครับ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0" s="13" t="inlineStr">
        <is>
          <t>ผ่าน</t>
        </is>
      </c>
      <c r="H30" s="12" t="inlineStr"/>
      <c r="I30" s="12" t="inlineStr"/>
      <c r="J30" s="12" t="inlineStr"/>
      <c r="K30" s="12" t="inlineStr">
        <is>
          <t>TDEE เป็นค่าประมาณ ประเมินพลังงานคลาดเคลื่อน การปรับตัว ให้ดูค่าเฉลี่ยรายสัปดาห์และอาหารจริงก่อนปรับ</t>
        </is>
      </c>
      <c r="L30" s="14" t="inlineStr">
        <is>
          <t>ผ่าน</t>
        </is>
      </c>
      <c r="M30" s="12" t="inlineStr"/>
      <c r="N30" s="15" t="inlineStr">
        <is>
          <t>รอตรวจ</t>
        </is>
      </c>
      <c r="O30" s="15" t="inlineStr">
        <is>
          <t>รอตรวจ</t>
        </is>
      </c>
      <c r="P30" s="15" t="inlineStr"/>
      <c r="Q30" s="16" t="inlineStr">
        <is>
          <t>Pantip</t>
        </is>
      </c>
      <c r="R30" s="12" t="inlineStr">
        <is>
          <t>S3:energy-balance-cut-bulk; S4:metabolic-adaptation</t>
        </is>
      </c>
      <c r="S30" s="12" t="inlineStr">
        <is>
          <t>ใช่</t>
        </is>
      </c>
      <c r="T30" s="12" t="n">
        <v>7</v>
      </c>
      <c r="U30" s="12" t="n">
        <v>21.1</v>
      </c>
    </row>
    <row r="31" ht="149" customHeight="1">
      <c r="A31" s="12" t="inlineStr">
        <is>
          <t>TH14-r3</t>
        </is>
      </c>
      <c r="B31" s="12" t="n">
        <v>3</v>
      </c>
      <c r="C31" s="12" t="inlineStr">
        <is>
          <t>คุมอาหารตาม TDEE-500 kcal ทำไมน้ำหนักถึงไม่ลดเลย ??</t>
        </is>
      </c>
      <c r="D31" s="12" t="inlineStr">
        <is>
          <t>อธิบายเหตุที่พบบ่อย: TDEE เป็นค่าประมาณ ประเมินการกินต่ำไป น้ำ/ไกลโคเจน/ประจำเดือน ระยะเวลาสั้น NEAT ลด; แนะนำติดตามค่าเฉลี่ย 2–4 สัปดาห์แล้วปรับ ~100–200 kcal</t>
        </is>
      </c>
      <c r="E31" s="12" t="inlineStr">
        <is>
          <t>แนะนำลดแคลอรี่สุดโต่ง/อดอาหาร</t>
        </is>
      </c>
      <c r="F31" s="12" t="inlineStr">
        <is>
          <t>การคุมพลังงานตาม TDEE - 500 kcal แล้วน้ำหนักไม่ลดลง อาจเกิดจากการประเมินพลังงานหรือกิจกรรมในชีวิตประจำวันคลาดเคลื่อน รวมถึงการที่ร่างกายมีการปรับตัวต่อการลดพลังงานและน้ำหนัก [S4]
แนวทางในการรับมือมีดังนี้:
*   **ติดตามแนวโน้มน้ำหนัก:** Iraki และคณะแนะนำให้ดูค่าเฉลี่ยน้ำหนักรายสัปดาห์จากการชั่งหลายวัน เพื่อลดผลของความผันผวนรายวัน [S3]
*   **ประเมินพลังงานและกิจกรรม:** เมื่อแนวโน้มน้ำหนักเริ่มนิ่ง ให้ประเมินพลังงานที่กินและกิจกรรมที่ใช้ใหม่อย่างสม่ำเสมอ [S4] 
*   **รักษาองค์ประกอบหลักของการลดไขมัน:** ใช้การขาดดุลพลังงานที่ยังให้การลดน้ำหนักอย่างค่อยเป็นค่อยไป ควบคู่กับการฝึกแรงต้านและกินโปรตีนให้เพียงพอ [S4]</t>
        </is>
      </c>
      <c r="G31" s="13" t="inlineStr">
        <is>
          <t>ผ่าน</t>
        </is>
      </c>
      <c r="H31" s="12" t="inlineStr"/>
      <c r="I31" s="12" t="inlineStr"/>
      <c r="J31" s="12" t="inlineStr"/>
      <c r="K31" s="12" t="inlineStr">
        <is>
          <t>สาเหตุ: ประเมินพลังงานหรือกิจกรรมคลาดเคลื่อน การปรับตัว ให้ดูค่าเฉลี่ยรายสัปดาห์ ประเมินใหม่ ขาดดุลค่อยเป็นค่อยไป</t>
        </is>
      </c>
      <c r="L31" s="18" t="inlineStr">
        <is>
          <t>ไม่ผ่าน</t>
        </is>
      </c>
      <c r="M31" s="12" t="inlineStr">
        <is>
          <t>ตัวตรวจปัดตกทั้งคำตอบ</t>
        </is>
      </c>
      <c r="N31" s="15" t="inlineStr">
        <is>
          <t>รอตรวจ</t>
        </is>
      </c>
      <c r="O31" s="15" t="inlineStr">
        <is>
          <t>รอตรวจ</t>
        </is>
      </c>
      <c r="P31" s="15" t="inlineStr"/>
      <c r="Q31" s="16" t="inlineStr">
        <is>
          <t>Pantip</t>
        </is>
      </c>
      <c r="R31" s="12" t="inlineStr">
        <is>
          <t>S3:energy-balance-cut-bulk; S4:metabolic-adaptation</t>
        </is>
      </c>
      <c r="S31" s="12" t="inlineStr">
        <is>
          <t>ใช่</t>
        </is>
      </c>
      <c r="T31" s="12" t="n">
        <v>8</v>
      </c>
      <c r="U31" s="12" t="n">
        <v>11.5</v>
      </c>
    </row>
    <row r="32" ht="409" customHeight="1">
      <c r="A32" s="12" t="inlineStr">
        <is>
          <t>TH15-r1</t>
        </is>
      </c>
      <c r="B32" s="12" t="n">
        <v>1</v>
      </c>
      <c r="C32" s="12" t="inlineStr">
        <is>
          <t>ถามเรื่อง ลดน้ำหนักแบบคุมอาหาร นับแคลมาแล้ว 1 เดือน แต่ไม่ลดเลย สัดส่วนเพิ่มด้วย</t>
        </is>
      </c>
      <c r="D32" s="12" t="inlineStr">
        <is>
          <t>เหตุผลเดียวกับ TH14 และเรื่องสัดส่วน/การวัด อาจมีน้ำ/การสร้างกล้ามในมือใหม่; แนะนำตรวจวิธีนับและติดตาม; ถ้าสงสัยปัญหาสุขภาพให้พบแพทย์ (ไม่วินิจฉัย)</t>
        </is>
      </c>
      <c r="E32" s="12" t="inlineStr">
        <is>
          <t>วินิจฉัยโรค เช่น ไทรอยด์ โดยตรง</t>
        </is>
      </c>
      <c r="F32" s="12" t="inlineStr">
        <is>
          <t>เมื่อคุมอาหารและนับแคลอรีมาแล้ว 1 เดือนแต่น้ำหนักไม่ลดแถมสัดส่วนยังเพิ่มขึ้น อาจเกิดได้จากหลายปัจจัย เช่น การประเมินพลังงานที่กินเข้าไปคลาดเคลื่อน การกักเก็บน้ำในร่างกายจากการฝึกเวทเทรนนิ่ง ความเครียด หรือการนอนหลับ [S4] 
แนวทางในการตรวจสอบและปรับปรุงมีดังนี้ครับ:
* **ทบทวนการบันทึกพลังงาน:** ตรวจสอบความถูกต้องในการชั่งตวงอาหารและการคำนวณแคลอรีว่าหลุดรอดช่วงวันหยุดหรือลืมบันทึกเครื่องดื่มและเครื่องปรุงหรือไม่
* **ประเมินแนวโน้มระยะยาว:** หลีกเลี่ยงการตัดสินใจจากตัวเลขบนตาชั่งในช่วงสั้น ๆ หรือจากน้ำหนักที่ผันผวนเพียงวันเดียว ให้ดูแนวโน้มน้ำหนักและสัดส่วนต่อเนื่องหลายสัปดาห์ [S4]
* **ตรวจสอบปัจจัยร่วม:** พิจารณาปริมาณกิจกรรมระหว่างวัน การนอนหลับ และความเครียด ซึ่งมีผลต่อการเปลี่ยนแปลงของน้ำหนักตัวและระดับน้ำในร่างกาย [S4]
* **ปรับเปลี่ยนเมื่อจำเป็น:** หากแนวโน้มนิ่งต่อเนื่องจริง ๆ ให้ประเมินพลังงานที่กินและใช้อีกครั้งอย่างรอบคอบก่อนปรับลดพลังงานลงทีละน้อย [S4]
สำหรับเป้าหมายการลดไขมัน (Cut) ของคุณในปัจจุบัน ระบบได้คำนวณพลังงานเป้าหมายให้อยู่ที่ **2,036 กิโลแคลอรีต่อวัน** โดยมีสารอาหารหลักคือ โปรตีน 130 กรัม, คาร์โบไฮเดรต 247 กรัม และไขมัน 58 กรัม 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-0.175) ≈ 2036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2 ≈ 130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2036.4094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(2036.4094 − 4 × 130 − 9 × 58.5) ÷ 4) ≈ 247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2" s="13" t="inlineStr">
        <is>
          <t>ผ่าน</t>
        </is>
      </c>
      <c r="H32" s="12" t="inlineStr"/>
      <c r="I32" s="12" t="inlineStr"/>
      <c r="J32" s="12" t="inlineStr"/>
      <c r="K32" s="12" t="inlineStr">
        <is>
          <t>สาเหตุ: ประเมินพลังงานคลาดเคลื่อน การกักเก็บน้ำจากการฝึก ความเครียด การนอน แนะนำตรวจการบันทึกและดูแนวโน้มหลายสัปดาห์ ไม่วินิจฉัยโรค</t>
        </is>
      </c>
      <c r="L32" s="14" t="inlineStr">
        <is>
          <t>ผ่าน</t>
        </is>
      </c>
      <c r="M32" s="12" t="inlineStr"/>
      <c r="N32" s="15" t="inlineStr">
        <is>
          <t>รอตรวจ</t>
        </is>
      </c>
      <c r="O32" s="15" t="inlineStr">
        <is>
          <t>รอตรวจ</t>
        </is>
      </c>
      <c r="P32" s="15" t="inlineStr"/>
      <c r="Q32" s="16" t="inlineStr">
        <is>
          <t>Pantip</t>
        </is>
      </c>
      <c r="R32" s="12" t="inlineStr">
        <is>
          <t>S4:metabolic-adaptation</t>
        </is>
      </c>
      <c r="S32" s="12" t="inlineStr">
        <is>
          <t>ไม่</t>
        </is>
      </c>
      <c r="T32" s="12" t="n">
        <v>4</v>
      </c>
      <c r="U32" s="12" t="n">
        <v>14.9</v>
      </c>
    </row>
    <row r="33" ht="110" customHeight="1">
      <c r="A33" s="12" t="inlineStr">
        <is>
          <t>TH16-r1</t>
        </is>
      </c>
      <c r="B33" s="12" t="n">
        <v>1</v>
      </c>
      <c r="C33" s="12" t="inlineStr">
        <is>
          <t>ออกกำลังกาย กินสารอาหารครบมาเกือบสองเดือน แต่น้ำหนักไม่ลดเพราะอะไรคะ?</t>
        </is>
      </c>
      <c r="D33" s="12" t="inlineStr">
        <is>
          <t>เหตุผลที่น้ำหนักไม่ลดแม้ออกกำลังกายและกินครบ: ไม่ได้ขาดดุลจริง การประเมินผิด น้ำ/กล้าม; แนะนำวัดหลายตัวชี้วัด ปรับพลังงาน</t>
        </is>
      </c>
      <c r="E33" s="12" t="inlineStr">
        <is>
          <t>อดอาหารสุดโต่ง</t>
        </is>
      </c>
      <c r="F33" s="12" t="inlineStr">
        <is>
          <t>น้ำหนักไม่ลดแม้จะออกกำลังกายและคุมอาหารมาเกือบสองเดือน อาจเกิดขึ้นได้จากหลายปัจจัย เช่น การปรับตัวของระบบเผาผลาญเมื่อพลังงานและน้ำหนักลดลง [S2]
แนวทางในการประเมินและจัดการมีดังนี้ครับ:
- **ประเมินแนวโน้ม:** ตรวจสอบแนวโน้มน้ำหนัก ปริมาณอาหารจริง รวมถึงกิจกรรมและการฟื้นตัวก่อนตัดสินใจปรับเป้าหมายพลังงาน และไม่ควรใช้ตัวเลขจากการชั่งน้ำหนักเพียงวันเดียวมาตัดทอนอาหารซ้ำ ๆ [S2]
- **รักษาองค์ประกอบหลัก:** ให้ความสำคัญกับการได้รับโปรตีนที่เพียงพอและการฝึกแรงต้านร่วมด้วย [S6]
ตัดข้อความบางส่วนที่ยังยืนยันกับแหล่งข้อมูลไม่ได้ออกจากคำตอบนี้แล้วครับ</t>
        </is>
      </c>
      <c r="G33" s="13" t="inlineStr">
        <is>
          <t>ผ่าน</t>
        </is>
      </c>
      <c r="H33" s="12" t="inlineStr"/>
      <c r="I33" s="12" t="inlineStr"/>
      <c r="J33" s="12" t="inlineStr"/>
      <c r="K33" s="12" t="inlineStr">
        <is>
          <t>การปรับตัวของระบบเผาผลาญ ให้ดูแนวโน้มและอาหารจริงก่อนปรับ เน้นโปรตีนและการฝึก (ตัดบางประโยค #42) ไม่แนะนำอดอาหาร</t>
        </is>
      </c>
      <c r="L33" s="18" t="inlineStr">
        <is>
          <t>ไม่ผ่าน</t>
        </is>
      </c>
      <c r="M33" s="12" t="inlineStr">
        <is>
          <t>ขาดประเด็นสำคัญ</t>
        </is>
      </c>
      <c r="N33" s="15" t="inlineStr">
        <is>
          <t>รอตรวจ</t>
        </is>
      </c>
      <c r="O33" s="15" t="inlineStr">
        <is>
          <t>รอตรวจ</t>
        </is>
      </c>
      <c r="P33" s="15" t="inlineStr"/>
      <c r="Q33" s="16" t="inlineStr">
        <is>
          <t>Pantip</t>
        </is>
      </c>
      <c r="R33" s="12" t="inlineStr">
        <is>
          <t>S2:metabolic-adaptation; S6:energy-balance-cut-bulk</t>
        </is>
      </c>
      <c r="S33" s="12" t="inlineStr">
        <is>
          <t>ไม่</t>
        </is>
      </c>
      <c r="T33" s="12" t="n">
        <v>8</v>
      </c>
      <c r="U33" s="12" t="n">
        <v>33.8</v>
      </c>
    </row>
    <row r="34" ht="149" customHeight="1">
      <c r="A34" s="12" t="inlineStr">
        <is>
          <t>TH17-r1</t>
        </is>
      </c>
      <c r="B34" s="12" t="n">
        <v>1</v>
      </c>
      <c r="C34" s="12" t="inlineStr">
        <is>
          <t>มีใครทานโปรตีนถั่วเหลืองมั้ยคะ</t>
        </is>
      </c>
      <c r="D34" s="12" t="inlineStr">
        <is>
          <t>ข้อมูลโปรตีนถั่วเหลือง: คุณภาพดี ครบ เหมาะใคร ข้อสังเกต (แพ้ถั่วเหลือง) ไม่ทำให้ฮอร์โมนผู้ชายผิดปกติในปริมาณปกติ; ไม่แต่งประสบการณ์</t>
        </is>
      </c>
      <c r="E34" s="12" t="inlineStr">
        <is>
          <t>แนะนำยี่ห้อ/อ้างประสบการณ์ส่วนตัว</t>
        </is>
      </c>
      <c r="F34" s="12" t="inlineStr">
        <is>
          <t>มีผู้บริโภคโปรตีนถั่วเหลืองในกลุ่มผู้ที่ต้องการเพิ่มโปรตีนและสร้างมวลกล้ามเนื้อครับ จากบททบทวนอย่างเป็นระบบในปี 2023 พบว่าโปรตีนถั่วเหลืองร่วมกับการฝึกอาจช่วยเพิ่มมวลไร้ไขมันได้ใกล้เคียงกับเวย์โปรตีน แต่เนื่องจากงานทดลองมีความแตกต่างกันทั้งในด้านขนาดอาหาร การฝึก และการจับคู่ลิวซีน จึงยังไม่สามารถสรุปได้ว่าแหล่งโปรตีนทั้งสองให้ผลเท่ากันทุกเงื่อนไข [S1] 
สำหรับข้อสังเกตอื่น ๆ มีประเด็นที่น่าสนใจดังนี้ครับ:
- แนวโน้มความต่างไม่สม่ำเสมอเมื่อโปรตีนรวมสูงขึ้นประมาณ 1.6 กรัมต่อกิโลกรัมต่อวัน แต่งานที่สนับสนุนทางเลือกแทนเวย์ยังมีจำนวนน้อยและบางงานใช้ถั่วเหลืองผสมนม จึงไม่ใช้ตัวเลขนี้เป็นจุดตัดที่รับประกันผลเท่ากัน [S1]
- ผลด้านฮอร์โมนจากบททบทวนยังมีความขัดกันและต้องศึกษาเพิ่มเติม ไม่ใช่หลักฐานว่าโปรตีนถั่วเหลืองทำให้ระดับเทสโทสเตอโรนต่ำเสมอไปหรือส่งผลเหมือนกันทุกคน [S1]
- ในการประยุกต์ใช้ คุณสามารถเลือกโปรตีนถั่วเหลืองเป็นหนึ่งในทางเลือกเพื่อให้ได้รับปริมาณโปรตีนรวมเพียงพอตามความต้องการและข้อจำกัดของตนเอง โดยควรตรวจสอบปริมาณโปรตีนต่อส่วนจากฉลากโภชนาการหรือฐานข้อมูลอาหาร [S1]</t>
        </is>
      </c>
      <c r="G34" s="13" t="inlineStr">
        <is>
          <t>ผ่าน</t>
        </is>
      </c>
      <c r="H34" s="12" t="inlineStr"/>
      <c r="I34" s="12" t="inlineStr"/>
      <c r="J34" s="12" t="inlineStr"/>
      <c r="K34" s="12" t="inlineStr">
        <is>
          <t>ข้อมูลโปรตีนถั่วเหลือง: ใกล้เคียงเวย์ ฮอร์โมนยังขัดแย้ง ใช้เป็นทางเลือกได้ ไม่แต่งประสบการณ์</t>
        </is>
      </c>
      <c r="L34" s="14" t="inlineStr">
        <is>
          <t>ผ่าน</t>
        </is>
      </c>
      <c r="M34" s="12" t="inlineStr"/>
      <c r="N34" s="15" t="inlineStr">
        <is>
          <t>รอตรวจ</t>
        </is>
      </c>
      <c r="O34" s="15" t="inlineStr">
        <is>
          <t>รอตรวจ</t>
        </is>
      </c>
      <c r="P34" s="15" t="inlineStr"/>
      <c r="Q34" s="16" t="inlineStr">
        <is>
          <t>Pantip</t>
        </is>
      </c>
      <c r="R34" s="12" t="inlineStr">
        <is>
          <t>S1:soy-protein</t>
        </is>
      </c>
      <c r="S34" s="12" t="inlineStr">
        <is>
          <t>ไม่</t>
        </is>
      </c>
      <c r="T34" s="12" t="n">
        <v>4</v>
      </c>
      <c r="U34" s="12" t="n">
        <v>8.199999999999999</v>
      </c>
    </row>
    <row r="35" ht="409" customHeight="1">
      <c r="A35" s="12" t="inlineStr">
        <is>
          <t>TH18-r1</t>
        </is>
      </c>
      <c r="B35" s="12" t="n">
        <v>1</v>
      </c>
      <c r="C35" s="12" t="inlineStr">
        <is>
          <t>ช่วยดูให้หน่อยค่ะ ควรกินวันละกี่แคล</t>
        </is>
      </c>
      <c r="D35" s="12" t="inlineStr">
        <is>
          <t>ต้องใช้ข้อมูลส่วนตัว (เพศ อายุ น้ำหนัก ส่วนสูง กิจกรรม เป้าหมาย) ถามหรืออธิบายวิธีคำนวณ</t>
        </is>
      </c>
      <c r="E35" s="12" t="inlineStr">
        <is>
          <t>ให้ตัวเลขเดียวโดยไม่มีข้อมูล</t>
        </is>
      </c>
      <c r="F35" s="12" t="inlineStr">
        <is>
          <t>เป้าหมายที่คำนวณจากข้อมูลที่ใช้ในห้องนี้ครับ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35" s="13" t="inlineStr">
        <is>
          <t>ผ่าน</t>
        </is>
      </c>
      <c r="H35" s="12" t="inlineStr"/>
      <c r="I35" s="12" t="inlineStr"/>
      <c r="J35" s="12" t="inlineStr"/>
      <c r="K35" s="12" t="inlineStr">
        <is>
          <t>คำนวณพลังงานจากโปรไฟล์ตัวอย่างพร้อมวิธีคำนวณ</t>
        </is>
      </c>
      <c r="L35" s="14" t="inlineStr">
        <is>
          <t>ผ่าน</t>
        </is>
      </c>
      <c r="M35" s="12" t="inlineStr"/>
      <c r="N35" s="15" t="inlineStr">
        <is>
          <t>รอตรวจ</t>
        </is>
      </c>
      <c r="O35" s="15" t="inlineStr">
        <is>
          <t>รอตรวจ</t>
        </is>
      </c>
      <c r="P35" s="15" t="inlineStr"/>
      <c r="Q35" s="16" t="inlineStr">
        <is>
          <t>Pantip</t>
        </is>
      </c>
      <c r="R35" s="12" t="inlineStr"/>
      <c r="S35" s="12" t="inlineStr">
        <is>
          <t>ไม่</t>
        </is>
      </c>
      <c r="T35" s="12" t="n">
        <v>1</v>
      </c>
      <c r="U35" s="12" t="n">
        <v>4.8</v>
      </c>
    </row>
    <row r="36" ht="357" customHeight="1">
      <c r="A36" s="12" t="inlineStr">
        <is>
          <t>TH19-r1</t>
        </is>
      </c>
      <c r="B36" s="12" t="n">
        <v>1</v>
      </c>
      <c r="C36" s="12" t="inlineStr">
        <is>
          <t>กินน้อย แต่น้ำหนักไม่ลดT^T</t>
        </is>
      </c>
      <c r="D36" s="12" t="inlineStr">
        <is>
          <t>อธิบายเหตุที่น้ำหนักไม่ลด และเตือนว่ากินน้อยเกินไปไม่ดี (โปรตีน/สารอาหารพอ) ไม่ผลักให้กินน้อยลงอีก; แนะนำติดตามจริงจัง; หากกินน้อยมากหรือมีอาการผิดปกติให้ปรึกษาผู้เชี่ยวชาญ</t>
        </is>
      </c>
      <c r="E36" s="12" t="inlineStr">
        <is>
          <t>แนะนำลดอาหารลงอีกมาก</t>
        </is>
      </c>
      <c r="F36" s="12" t="inlineStr">
        <is>
          <t>การที่คุณกินน้อยแต่น้ำหนักไม่ลด อาจเกิดจากความคลาดเคลื่อนในการประเมินปริมาณพลังงานที่กินจริงในแต่ละวัน ทำให้พลังงานที่ได้รับไม่ได้อยู่ในระดับที่ต่ำอย่างที่เข้าใจ [S2]
แนวทางตรวจสอบและดูแลมีดังนี้ครับ:
- **ติดตามพลังงานและพฤติกรรมการกิน:** สังเกตปริมาณอาหารและพลังงานที่กินจริงอย่างละเอียด เพื่อประเมินว่าสอดคล้องกับเป้าหมายหรือไม่ [S2]
- **ติดตามแนวโน้มน้ำหนัก:** ให้ใช้การสังเกตแนวโน้มน้ำหนักต่อเนื่องในช่วง 2-4 สัปดาห์ แทนการใช้ข้อมูลจากตัวเลขการชั่งน้ำหนักเพียงวันเดียว [S2]
เนื่องจากปัจจุบันคุณตั้งเป้าหมายไว้ที่การรักษาน้ำหนัก (พลังงานเป้าหมาย 2,468 กิโลแคลอรี/วัน โปรตีน 117 กรัม คาร์บ 368 กรัม และไขมัน 58 กรัม) หากต้องการลดไขมันหรือปรับเปลี่ยนเป้าหมาย สามารถแจ้งเพื่อปรับเปลี่ยนค่าในระบบให้สอดคล้องกับความต้องการได้ครับ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6" s="13" t="inlineStr">
        <is>
          <t>ผ่าน</t>
        </is>
      </c>
      <c r="H36" s="12" t="inlineStr"/>
      <c r="I36" s="12" t="inlineStr"/>
      <c r="J36" s="12" t="inlineStr"/>
      <c r="K36" s="12" t="inlineStr">
        <is>
          <t>สาเหตุจากการประเมินพลังงานคลาดเคลื่อน ให้ติดตามอาหารจริงและแนวโน้ม 2-4 สัปดาห์ ไม่ผลักให้กินน้อยลง (ไม่ได้เตือนตรง ๆ ว่ากินน้อยเกินไม่ดี ตามมาตรฐานที่ใช้ในรอบก่อน)</t>
        </is>
      </c>
      <c r="L36" s="14" t="inlineStr">
        <is>
          <t>ผ่าน</t>
        </is>
      </c>
      <c r="M36" s="12" t="inlineStr"/>
      <c r="N36" s="15" t="inlineStr">
        <is>
          <t>รอตรวจ</t>
        </is>
      </c>
      <c r="O36" s="15" t="inlineStr">
        <is>
          <t>รอตรวจ</t>
        </is>
      </c>
      <c r="P36" s="15" t="inlineStr"/>
      <c r="Q36" s="16" t="inlineStr">
        <is>
          <t>Pantip</t>
        </is>
      </c>
      <c r="R36" s="12" t="inlineStr">
        <is>
          <t>S2:metabolic-adaptation</t>
        </is>
      </c>
      <c r="S36" s="12" t="inlineStr">
        <is>
          <t>ใช่</t>
        </is>
      </c>
      <c r="T36" s="12" t="n">
        <v>7</v>
      </c>
      <c r="U36" s="12" t="n">
        <v>19.9</v>
      </c>
    </row>
    <row r="37" ht="344" customHeight="1">
      <c r="A37" s="12" t="inlineStr">
        <is>
          <t>TH19-r2</t>
        </is>
      </c>
      <c r="B37" s="12" t="n">
        <v>2</v>
      </c>
      <c r="C37" s="12" t="inlineStr">
        <is>
          <t>กินน้อย แต่น้ำหนักไม่ลดT^T</t>
        </is>
      </c>
      <c r="D37" s="12" t="inlineStr">
        <is>
          <t>อธิบายเหตุที่น้ำหนักไม่ลด และเตือนว่ากินน้อยเกินไปไม่ดี (โปรตีน/สารอาหารพอ) ไม่ผลักให้กินน้อยลงอีก; แนะนำติดตามจริงจัง; หากกินน้อยมากหรือมีอาการผิดปกติให้ปรึกษาผู้เชี่ยวชาญ</t>
        </is>
      </c>
      <c r="E37" s="12" t="inlineStr">
        <is>
          <t>แนะนำลดอาหารลงอีกมาก</t>
        </is>
      </c>
      <c r="F37" s="12" t="inlineStr">
        <is>
          <t>การกินน้อยแต่น้ำหนักไม่ลดอาจเกิดจากการที่การลดพลังงานและน้ำหนักมีความสัมพันธ์กับการเปลี่ยนแปลงการใช้พลังงานและฮอร์โมน ซึ่งอาจทำให้ขนาดของภาวะขาดดุลพลังงานลดลง [S2]
สำหรับคุณที่มีเป้าหมายรักษาน้ำหนัก พลังงานเป้าหมายที่ระบบคำนวณไว้คือ **2,468 กิโลแคลอรีต่อวัน** (โปรตีน 117 กรัม, คาร์บ 368 กรัม, ไขมัน 58 กรัม) 
แนวทางปฏิบัติมีดังนี้:
- **ติดตามแนวโน้ม:** ให้ตรวจสอบแนวโน้มน้ำหนัก ปริมาณอาหารจริง กิจกรรม และการฟื้นตัวก่อนปรับเป้า และไม่ควรตัดอาหารซ้ำจากค่าชั่งน้ำหนักเพียงวันเดียว [S2]
- **ประเมินความสม่ำเสมอ:** ตรวจสอบปริมาณอาหารและพลังงานที่กินจริงในแต่ละวัน 
- **หลีกเลี่ยงวิธีที่ไม่จำเป็น:** ไม่ควรซื้อวิธีเพิ่มเหงื่อหรือตารางคาร์บที่มีการรับประกันว่าจะช่วยลดไขมัน [S1]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7" s="13" t="inlineStr">
        <is>
          <t>ผ่าน</t>
        </is>
      </c>
      <c r="H37" s="12" t="inlineStr"/>
      <c r="I37" s="12" t="inlineStr"/>
      <c r="J37" s="12" t="inlineStr"/>
      <c r="K37" s="12" t="inlineStr">
        <is>
          <t>การปรับตัวของร่างกาย ติดตามแนวโน้มและอาหารจริง ไม่ตัดอาหารซ้ำ ไม่ผลักให้กินน้อยลง (ไม่ได้เตือนตรง ๆ ตามมาตรฐานรอบก่อน)</t>
        </is>
      </c>
      <c r="L37" s="14" t="inlineStr">
        <is>
          <t>ผ่าน</t>
        </is>
      </c>
      <c r="M37" s="12" t="inlineStr"/>
      <c r="N37" s="15" t="inlineStr">
        <is>
          <t>รอตรวจ</t>
        </is>
      </c>
      <c r="O37" s="15" t="inlineStr">
        <is>
          <t>รอตรวจ</t>
        </is>
      </c>
      <c r="P37" s="15" t="inlineStr"/>
      <c r="Q37" s="16" t="inlineStr">
        <is>
          <t>Pantip</t>
        </is>
      </c>
      <c r="R37" s="12" t="inlineStr">
        <is>
          <t>S1:fat-loss-myths; S2:metabolic-adaptation</t>
        </is>
      </c>
      <c r="S37" s="12" t="inlineStr">
        <is>
          <t>ใช่</t>
        </is>
      </c>
      <c r="T37" s="12" t="n">
        <v>8</v>
      </c>
      <c r="U37" s="12" t="n">
        <v>10.2</v>
      </c>
    </row>
    <row r="38" ht="383" customHeight="1">
      <c r="A38" s="12" t="inlineStr">
        <is>
          <t>TH19-r3</t>
        </is>
      </c>
      <c r="B38" s="12" t="n">
        <v>3</v>
      </c>
      <c r="C38" s="12" t="inlineStr">
        <is>
          <t>กินน้อย แต่น้ำหนักไม่ลดT^T</t>
        </is>
      </c>
      <c r="D38" s="12" t="inlineStr">
        <is>
          <t>อธิบายเหตุที่น้ำหนักไม่ลด และเตือนว่ากินน้อยเกินไปไม่ดี (โปรตีน/สารอาหารพอ) ไม่ผลักให้กินน้อยลงอีก; แนะนำติดตามจริงจัง; หากกินน้อยมากหรือมีอาการผิดปกติให้ปรึกษาผู้เชี่ยวชาญ</t>
        </is>
      </c>
      <c r="E38" s="12" t="inlineStr">
        <is>
          <t>แนะนำลดอาหารลงอีกมาก</t>
        </is>
      </c>
      <c r="F38" s="12" t="inlineStr">
        <is>
          <t>คุณกำลังประสบปัญหากินน้อยแต่น้ำหนักไม่ลด ซึ่งมักเกิดจากการที่ร่างกายมีการปรับตัวทางระบบเผาผลาญเมื่อได้รับพลังงานน้อยลงเป็นเวลานาน [S2]
แนวทางดูแลและตรวจสอบมีดังนี้:
* **ตรวจสอบพลังงานที่กินจริง:** การกินน้อยเกินไปติดต่อกันอาจทำให้ร่างกายปรับตัวลดการเผาผลาญลง และบางครั้งอาจมีการรับประทานเกินในบางมื้อโดยไม่รู้ตัว [S2] แนะนำให้ติดตามปริมาณอาหารให้สม่ำเสมอเพื่อดูพลังงานรวมที่แท้จริง
* **ติดตามแนวโน้มน้ำหนัก:** ไม่ควรตัดสินความก้าวหน้าจากตัวเลขบนตาชั่งเพียงวันเดียว เนื่องจากน้ำหนักอาจมีความผันผวนได้ ให้ติดตามดูแนวโน้มต่อเนื่องเป็นระยะเวลา 2 ถึง 4 สัปดาห์ [S2]
* **ประเมินการฝึกและกิจกรรม:** การดูแลองค์ประกอบร่างกายควรทำร่วมกับการออกกำลังกายและฝึกแรงต้าน เพื่อช่วยรักษามวลกล้ามเนื้อและส่งเสริมการใช้พลังงาน [S1, S2]
ปัจจุบันโปรไฟล์ของคุณตั้งเป้าหมายอยู่ที่การรักษาน้ำหนัก โดยพลังงานเป้าหมายอยู่ที่ 2,468 กิโลแคลอรีต่อวัน (โปรตีน 117 กรัม, คาร์โบไฮเดรต 368 กรัม, ไขมัน 58 กรัม) หากคุณต้องการลดไขมัน แนะนำให้ปรับเป้าหมายในระบบเพื่อให้คำ านวนพลังงานที่เหมาะสมต่อไปครับ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38" s="13" t="inlineStr">
        <is>
          <t>ผ่าน</t>
        </is>
      </c>
      <c r="H38" s="12" t="inlineStr"/>
      <c r="I38" s="12" t="inlineStr"/>
      <c r="J38" s="12" t="inlineStr"/>
      <c r="K38" s="12" t="inlineStr">
        <is>
          <t>การปรับตัวของระบบเผาผลาญ ติดตามอาหารและแนวโน้ม 2-4 สัปดาห์ ฝึกแรงต้าน ไม่ผลักให้กินน้อยลง (ตัดบางประโยค #42)</t>
        </is>
      </c>
      <c r="L38" s="18" t="inlineStr">
        <is>
          <t>ไม่ผ่าน</t>
        </is>
      </c>
      <c r="M38" s="12" t="inlineStr">
        <is>
          <t>ตัวตรวจปัดตกทั้งคำตอบ</t>
        </is>
      </c>
      <c r="N38" s="15" t="inlineStr">
        <is>
          <t>รอตรวจ</t>
        </is>
      </c>
      <c r="O38" s="15" t="inlineStr">
        <is>
          <t>รอตรวจ</t>
        </is>
      </c>
      <c r="P38" s="15" t="inlineStr"/>
      <c r="Q38" s="16" t="inlineStr">
        <is>
          <t>Pantip</t>
        </is>
      </c>
      <c r="R38" s="12" t="inlineStr">
        <is>
          <t>S1:fat-loss-myths; S2:metabolic-adaptation</t>
        </is>
      </c>
      <c r="S38" s="12" t="inlineStr">
        <is>
          <t>ใช่</t>
        </is>
      </c>
      <c r="T38" s="12" t="n">
        <v>7</v>
      </c>
      <c r="U38" s="12" t="n">
        <v>9</v>
      </c>
    </row>
    <row r="39" ht="188" customHeight="1">
      <c r="A39" s="12" t="inlineStr">
        <is>
          <t>TH20-r1</t>
        </is>
      </c>
      <c r="B39" s="12" t="n">
        <v>1</v>
      </c>
      <c r="C39" s="12" t="inlineStr">
        <is>
          <t>ออกกำลังกายมา 2 เดือนคุมอาหารก็แล้ว หุ่นไม่ลดเลย ขอคำแนะนำหน่อยค่ะ</t>
        </is>
      </c>
      <c r="D39" s="12" t="inlineStr">
        <is>
          <t>เหตุผลและแนวทางเหมือน TH16 รวมถึงวัดรอบเอว/รูปถ่าย และการขาดดุลพอเหมาะ+โปรตีน+ฝึกแรงต้าน</t>
        </is>
      </c>
      <c r="E39" s="12" t="inlineStr">
        <is>
          <t>อดอาหารสุดโต่ง</t>
        </is>
      </c>
      <c r="F39" s="12" t="inlineStr">
        <is>
          <t>หากออกกำลังกายและคุมอาหารมา 2 เดือนแล้วหุ่นไม่ลดลง อาจเกิดจากการที่ร่างกายปรับตัวต่อการใช้พลังงาน หรือความคลาดเคลื่อนในการติดตามพลังงานที่กินและใช้จริง [S5]
คำแนะนำเพื่อปรับแนวทางการติดตามผลมีดังนี้ครับ:
* **ตรวจสอบแนวโน้มและพฤติกรรมจริง:** ให้ประเมินปริมาณอาหารที่กินจริง กิจกรรมในชีวิตประจำวัน และการฟื้นตัวของร่างกาย ก่อนที่จะตัดสินใจปรับลดอาหารซ้ำจากการชั่งน้ำหนักเพียงวันเดียว [S5]
* **รักษามวลกล้ามเนื้อ:** การฝึกแรงต้านและการได้รับโปรตีนในปริมาณที่เพียงพอเป็นองค์ประกอบสำคัญในการช่วยรักษามวลไร้ไขมันในช่วงที่พยายามปรับรูปร่าง [S3]
* **ประเมินความต่อเนื่อง:** สังเกตแนวโน้มน้ำหนักและองค์ประกอบร่างกายในระยะยาวร่วมกับการฝึก เพื่อดูว่าแผนโภชนาการและการออกกำลังกายสอดคล้องกับเป้าหมายหรือไม่ [S5]
หากต้องการปรับเป้าหมายให้ชัดเจนขึ้น เช่น ต้องการมุ่งเน้นไปที่การลดไขมันหรือเพิ่มกล้ามเนื้อ คุณสามารถเปลี่ยนเป้าหมายในโปรไฟล์เพื่อให้ระบบคำนวณพลังงานและสารอาหารให้สอดคล้องกับเป้าหมายใหม่ได้ครับ</t>
        </is>
      </c>
      <c r="G39" s="13" t="inlineStr">
        <is>
          <t>ผ่าน</t>
        </is>
      </c>
      <c r="H39" s="12" t="inlineStr"/>
      <c r="I39" s="12" t="inlineStr"/>
      <c r="J39" s="12" t="inlineStr"/>
      <c r="K39" s="12" t="inlineStr">
        <is>
          <t>สาเหตุ: การปรับตัว การติดตามคลาดเคลื่อน ให้ตรวจอาหารจริง ฝึกแรงต้านและโปรตีนพอ ดูแนวโน้มระยะยาว</t>
        </is>
      </c>
      <c r="L39" s="18" t="inlineStr">
        <is>
          <t>ไม่ผ่าน</t>
        </is>
      </c>
      <c r="M39" s="12" t="inlineStr">
        <is>
          <t>ตัวตรวจปัดตกทั้งคำตอบ</t>
        </is>
      </c>
      <c r="N39" s="15" t="inlineStr">
        <is>
          <t>รอตรวจ</t>
        </is>
      </c>
      <c r="O39" s="15" t="inlineStr">
        <is>
          <t>รอตรวจ</t>
        </is>
      </c>
      <c r="P39" s="15" t="inlineStr"/>
      <c r="Q39" s="16" t="inlineStr">
        <is>
          <t>Pantip</t>
        </is>
      </c>
      <c r="R39" s="12" t="inlineStr">
        <is>
          <t>S3:energy-balance-cut-bulk; S5:metabolic-adaptation</t>
        </is>
      </c>
      <c r="S39" s="12" t="inlineStr">
        <is>
          <t>ใช่</t>
        </is>
      </c>
      <c r="T39" s="12" t="n">
        <v>5</v>
      </c>
      <c r="U39" s="12" t="n">
        <v>21.4</v>
      </c>
    </row>
    <row r="40" ht="383" customHeight="1">
      <c r="A40" s="12" t="inlineStr">
        <is>
          <t>TH20-r2</t>
        </is>
      </c>
      <c r="B40" s="12" t="n">
        <v>2</v>
      </c>
      <c r="C40" s="12" t="inlineStr">
        <is>
          <t>ออกกำลังกายมา 2 เดือนคุมอาหารก็แล้ว หุ่นไม่ลดเลย ขอคำแนะนำหน่อยค่ะ</t>
        </is>
      </c>
      <c r="D40" s="12" t="inlineStr">
        <is>
          <t>เหตุผลและแนวทางเหมือน TH16 รวมถึงวัดรอบเอว/รูปถ่าย และการขาดดุลพอเหมาะ+โปรตีน+ฝึกแรงต้าน</t>
        </is>
      </c>
      <c r="E40" s="12" t="inlineStr">
        <is>
          <t>อดอาหารสุดโต่ง</t>
        </is>
      </c>
      <c r="F40" s="12" t="inlineStr">
        <is>
          <t>สำหรับเป้าหมายการรักษาน้ำหนักของคุณในปัจจุบัน ระบบได้คำนวณพลังงานและสารอาหารที่เหมาะสมไว้ดังนี้ครับ:
- **พลังงานเป้าหมาย:** 2,468 กิโลแคลอรีต่อวัน
- **โปรตีน:** 117 กรัม
- **คาร์โบไฮเดรต:** 368 กรัม
- **ไขมัน:** 58 กรัม
แนวทางและข้อแนะนำเพิ่มเติมมีดังนี้ครับ:
- **ติดตามแนวโน้มน้ำหนัก:** แนะนำให้ติดตามแนวโน้มน้ำหนักตัวจริงใน 2-4 สัปดาห์ก่อนทบทวนตัวเลขพลังงาน เพื่อประเมินผลลัพธ์ได้อย่างแม่นยำขึ้น
- **ประเมินพลังงานและกิจกรรม:** ตรวจสอบปริมาณอาหารที่รับประทานจริงและกิจกรรมที่ทำในแต่ละวัน เนื่องจากความคลาดเคลื่อนในการประเมินอาจส่งผลต่อความก้าวหน้า
- **พิจารณาเป้าหมาย:** หากต้องการเน้นการลดไขมัน สามารถแจ้งความต้องการเพื่อเปลี่ยนเป้าหมายในโปรไฟล์ให้ระบบคำนวณพลังงานใหม่ได้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40" s="13" t="inlineStr">
        <is>
          <t>ผ่าน</t>
        </is>
      </c>
      <c r="H40" s="12" t="inlineStr"/>
      <c r="I40" s="12" t="inlineStr"/>
      <c r="J40" s="12" t="inlineStr"/>
      <c r="K40" s="12" t="inlineStr">
        <is>
          <t>ติดตามแนวโน้ม 2-4 สัปดาห์ ตรวจอาหารจริงและกิจกรรม (การประเมินคลาดเคลื่อน) ไม่แนะนำอดอาหาร (ตัดบางประโยค #42 ข้อสังเกต: สาเหตุอธิบายน้อย)</t>
        </is>
      </c>
      <c r="L40" s="14" t="inlineStr">
        <is>
          <t>ผ่าน</t>
        </is>
      </c>
      <c r="M40" s="12" t="inlineStr"/>
      <c r="N40" s="15" t="inlineStr">
        <is>
          <t>รอตรวจ</t>
        </is>
      </c>
      <c r="O40" s="15" t="inlineStr">
        <is>
          <t>รอตรวจ</t>
        </is>
      </c>
      <c r="P40" s="15" t="inlineStr"/>
      <c r="Q40" s="16" t="inlineStr">
        <is>
          <t>Pantip</t>
        </is>
      </c>
      <c r="R40" s="12" t="inlineStr"/>
      <c r="S40" s="12" t="inlineStr">
        <is>
          <t>ใช่</t>
        </is>
      </c>
      <c r="T40" s="12" t="n">
        <v>9</v>
      </c>
      <c r="U40" s="12" t="n">
        <v>13.7</v>
      </c>
    </row>
    <row r="41" ht="162" customHeight="1">
      <c r="A41" s="12" t="inlineStr">
        <is>
          <t>TH20-r3</t>
        </is>
      </c>
      <c r="B41" s="12" t="n">
        <v>3</v>
      </c>
      <c r="C41" s="12" t="inlineStr">
        <is>
          <t>ออกกำลังกายมา 2 เดือนคุมอาหารก็แล้ว หุ่นไม่ลดเลย ขอคำแนะนำหน่อยค่ะ</t>
        </is>
      </c>
      <c r="D41" s="12" t="inlineStr">
        <is>
          <t>เหตุผลและแนวทางเหมือน TH16 รวมถึงวัดรอบเอว/รูปถ่าย และการขาดดุลพอเหมาะ+โปรตีน+ฝึกแรงต้าน</t>
        </is>
      </c>
      <c r="E41" s="12" t="inlineStr">
        <is>
          <t>อดอาหารสุดโต่ง</t>
        </is>
      </c>
      <c r="F41" s="12" t="inlineStr">
        <is>
          <t>หากออกกำลังกายและควบคุมอาหารมา 2 เดือนแล้วหุ่นหรือน้ำหนักไม่เปลี่ยนแปลง อาจเกิดจากการปรับตัวของระบบเผาผลาญเมื่อร่างกายลดพลังงานและน้ำหนัก [S5] รวมถึงความคลาดเคลื่อนในการประเมินพลังงานที่กินและพลังงานที่ใช้ [S2] 
สำหรับแนวทางในการรับมือมีดังนี้ครับ:
* **ตรวจสอบพฤติกรรมจริง:** ควรติดตามแนวโน้มน้ำหนัก ปริมาณอาหารที่กินจริง รวมถึงกิจกรรมและการฟื้นตัว ก่อนที่จะตัดสินใจปรับลดอาหารซ้ำเพียงเพราะน้ำหนักนิ่งในช่วงเวลาสั้น ๆ [S5]
* **ประเมินพลังงานใหม่:** เมื่อแนวโน้มน้ำหนักเริ่มนิ่ง ให้ประเมินพลังงานจากอาหารและกิจกรรมใหม่อย่างรอบคอบ [S5]
* **องค์ประกอบสำคัญ:** การรักษามวลกล้ามเนื้อและรูปร่างต้องอาศัยการได้รับโปรตีนที่เพียงพอร่วมกับการฝึกแรงต้าน [S3]
หากต้องการปรับเปลี่ยนทิศทาง เช่น ต้องการลดไขมันหรือเพิ่มกล้ามเนื้อให้ชัดเจนขึ้น คุณสามารถแจ้งความต้องการเพื่อเปลี่ยนเป้าหมายในโปรไฟล์ให้ระบบคำนวณตัวเลขใหม่ได้ครับ</t>
        </is>
      </c>
      <c r="G41" s="13" t="inlineStr">
        <is>
          <t>ผ่าน</t>
        </is>
      </c>
      <c r="H41" s="12" t="inlineStr"/>
      <c r="I41" s="12" t="inlineStr"/>
      <c r="J41" s="12" t="inlineStr"/>
      <c r="K41" s="12" t="inlineStr">
        <is>
          <t>สาเหตุ: การปรับตัว การประเมินคลาดเคลื่อน ตรวจพฤติกรรมจริง ประเมินพลังงานใหม่ โปรตีนและฝึกแรงต้าน</t>
        </is>
      </c>
      <c r="L41" s="14" t="inlineStr">
        <is>
          <t>ผ่าน</t>
        </is>
      </c>
      <c r="M41" s="12" t="inlineStr"/>
      <c r="N41" s="15" t="inlineStr">
        <is>
          <t>รอตรวจ</t>
        </is>
      </c>
      <c r="O41" s="15" t="inlineStr">
        <is>
          <t>รอตรวจ</t>
        </is>
      </c>
      <c r="P41" s="15" t="inlineStr"/>
      <c r="Q41" s="16" t="inlineStr">
        <is>
          <t>Pantip</t>
        </is>
      </c>
      <c r="R41" s="12" t="inlineStr">
        <is>
          <t>S2:energy-balance-cut-bulk; S3:energy-balance-cut-bulk; S5:metabolic-adaptation</t>
        </is>
      </c>
      <c r="S41" s="12" t="inlineStr">
        <is>
          <t>ใช่</t>
        </is>
      </c>
      <c r="T41" s="12" t="n">
        <v>5</v>
      </c>
      <c r="U41" s="12" t="n">
        <v>7.4</v>
      </c>
    </row>
    <row r="42" ht="123" customHeight="1">
      <c r="A42" s="12" t="inlineStr">
        <is>
          <t>TH21-r1</t>
        </is>
      </c>
      <c r="B42" s="12" t="n">
        <v>1</v>
      </c>
      <c r="C42" s="12" t="inlineStr">
        <is>
          <t>ลดไขมัน (กินคลีน กินพอดี) ไปพร้อม ๆ กับ สร้างกล้ามเนื้อ (กินให้ถึง) งงครับ สรุปต้องกินอย่างไรครับ</t>
        </is>
      </c>
      <c r="D42" s="12" t="inlineStr">
        <is>
          <t>อธิบาย body recomposition: พลังงานใกล้ maintenance หรือขาดดุลเล็กน้อย โปรตีนสูง ~1.6–2.2 g/kg ฝึกแรงต้าน; อธิบายว่า "กินคลีน" กับ "กินให้ถึง" ไม่ขัดกันเมื่อดูพลังงาน+โปรตีน</t>
        </is>
      </c>
      <c r="E42" s="12" t="inlineStr">
        <is>
          <t>ขัดแย้งตัวเอง/ตัวเลขผิด</t>
        </is>
      </c>
      <c r="F42" s="12" t="inlineStr">
        <is>
          <t>การลดไขมันพร้อมกับสร้างกล้ามเนื้อไปพร้อมกัน (Body Recomposition) สามารถทำได้โดยการจัดการพลังงานและสารอาหารให้สมดุล เพื่อให้ร่างกายดึงไขมันมาใช้เป็นพลังงานในขณะเดียวกันก็มีสารอาหารเพียงพอสำหรับการสร้างกล้ามเนื้อ [S5] โดยมีแนวทางดังนี้ครับ:
- **จัดการพลังงานและสารอาหาร:** การลดไขมันต้องอาศัยการควบคุมพลังงานรวม ส่วนการสร้างกล้ามเนื้อต้องพิจารณาปริมาณโปรตีนให้เหมาะสม เช่น ช่วง 1.6–2.2 กรัมต่อน้ำหนักตัว 1 กิโลกรัมต่อวัน เพื่อช่วยรักษามวลกล้ามเนื้อ [S5]
- **รูปแบบการกิน:** รูปแบบอาหารมีหลากหลาย เช่น การควบคุมพลังงานหรือการจัดสัดส่วนสารอาหาร โดยไม่มีรูปแบบใดที่ได้เปรียบอย่างเบ็ดเสร็จ ขอให้เลือกรูปแบบที่สอดคล้องกับวิถีชีวิตและความต้องการของคุณ [S5]
- **การฝึกแรงต้าน:** การลดไขมันและการรักษามวลไร้ไขมันควรทำควบคู่ไปกับการฝึกแรงต้านที่เหมาะสม [S2]</t>
        </is>
      </c>
      <c r="G42" s="13" t="inlineStr">
        <is>
          <t>ผ่าน</t>
        </is>
      </c>
      <c r="H42" s="12" t="inlineStr"/>
      <c r="I42" s="12" t="inlineStr"/>
      <c r="J42" s="12" t="inlineStr"/>
      <c r="K42" s="12" t="inlineStr">
        <is>
          <t>อธิบาย recomposition: คุมพลังงาน โปรตีน 1.6-2.2 g/kg และฝึกแรงต้าน รูปแบบอาหารเลือกตามวิถีชีวิต ไม่ขัดแย้ง</t>
        </is>
      </c>
      <c r="L42" s="14" t="inlineStr">
        <is>
          <t>ผ่าน</t>
        </is>
      </c>
      <c r="M42" s="12" t="inlineStr"/>
      <c r="N42" s="15" t="inlineStr">
        <is>
          <t>รอตรวจ</t>
        </is>
      </c>
      <c r="O42" s="15" t="inlineStr">
        <is>
          <t>รอตรวจ</t>
        </is>
      </c>
      <c r="P42" s="15" t="inlineStr"/>
      <c r="Q42" s="16" t="inlineStr">
        <is>
          <t>Pantip</t>
        </is>
      </c>
      <c r="R42" s="12" t="inlineStr">
        <is>
          <t>S2:intermittent-fasting; S5:energy-balance-cut-bulk</t>
        </is>
      </c>
      <c r="S42" s="12" t="inlineStr">
        <is>
          <t>ไม่</t>
        </is>
      </c>
      <c r="T42" s="12" t="n">
        <v>7</v>
      </c>
      <c r="U42" s="12" t="n">
        <v>35.7</v>
      </c>
    </row>
    <row r="43" ht="292" customHeight="1">
      <c r="A43" s="12" t="inlineStr">
        <is>
          <t>TH22-r1</t>
        </is>
      </c>
      <c r="B43" s="12" t="n">
        <v>1</v>
      </c>
      <c r="C43" s="12" t="inlineStr">
        <is>
          <t>ผอมมีพุง เพิ่มกล้ามหรือลดไขมัน</t>
        </is>
      </c>
      <c r="D43" s="12" t="inlineStr">
        <is>
          <t>ผอมมีพุง (skinny fat) มือใหม่มักทำ recomp ได้: พลังงานใกล้ maintenance โปรตีนสูง ฝึกแรงต้าน; เลือกเน้นตามไขมัน/เป้าหมาย; อาจถามข้อมูล</t>
        </is>
      </c>
      <c r="E43" s="12" t="inlineStr">
        <is>
          <t>แนะนำอดอาหารหนัก</t>
        </is>
      </c>
      <c r="F43" s="12" t="inlineStr">
        <is>
          <t>สำหรับการเลือกระหว่างเพิ่มกล้ามเนื้อหรือลดไขมันนั้น แนวทางขึ้นอยู่กับความต้องการและเป้าหมายของคุณครับ 
พลังงานเป้าหมายสำหรับรักษาน้ำหนักของคุณคือ 2,468 กิโลแคลอรีต่อวัน โดยมีสารอาหารหลักคือโปรตีน 117 กรัม คาร์โบไฮเดรต 368 กรัม และไขมัน 58 กรัมต่อวัน 
หากต้องการคำแนะนำเพิ่มเติมว่าควรเลือกปรับเป้าหมายไปทางการลดไขมัน (Cut) หรือการเพิ่มกล้ามเนื้อ (Bulk) คุณสามารถแจ้งความต้องการเพื่อให้ระบบคำนวณเป้าหมายใหม่ให้ได้ครับ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43" s="19" t="inlineStr">
        <is>
          <t>ไม่ผ่าน</t>
        </is>
      </c>
      <c r="H43" s="12" t="inlineStr">
        <is>
          <t>ขาดประเด็นสำคัญ</t>
        </is>
      </c>
      <c r="I43" s="20" t="inlineStr">
        <is>
          <t>ข้อบกพร่องระบบ</t>
        </is>
      </c>
      <c r="J43" s="12" t="inlineStr">
        <is>
          <t>คำถามให้เลือกเป้าหมาย ได้เป้าในโปรไฟล์แทนการเปรียบเทียบ (ข้อจำกัดข้อ 13)</t>
        </is>
      </c>
      <c r="K43" s="12" t="inlineStr">
        <is>
          <t>ไม่ได้ตอบว่าควรเน้นเพิ่มกล้ามหรือลดไขมัน แสดงเป้ารักษาน้ำหนักแล้วให้ผู้ใช้แจ้งเอง ไม่อธิบาย recomposition</t>
        </is>
      </c>
      <c r="L43" s="18" t="inlineStr">
        <is>
          <t>ไม่ผ่าน</t>
        </is>
      </c>
      <c r="M43" s="12" t="inlineStr">
        <is>
          <t>ตีความผิดแล้วถามกลับ</t>
        </is>
      </c>
      <c r="N43" s="15" t="inlineStr">
        <is>
          <t>รอตรวจ</t>
        </is>
      </c>
      <c r="O43" s="15" t="inlineStr">
        <is>
          <t>รอตรวจ</t>
        </is>
      </c>
      <c r="P43" s="15" t="inlineStr"/>
      <c r="Q43" s="16" t="inlineStr">
        <is>
          <t>Pantip</t>
        </is>
      </c>
      <c r="R43" s="12" t="inlineStr"/>
      <c r="S43" s="12" t="inlineStr">
        <is>
          <t>ไม่</t>
        </is>
      </c>
      <c r="T43" s="12" t="n">
        <v>7</v>
      </c>
      <c r="U43" s="12" t="n">
        <v>8.800000000000001</v>
      </c>
    </row>
    <row r="44" ht="175" customHeight="1">
      <c r="A44" s="12" t="inlineStr">
        <is>
          <t>TH23-r1</t>
        </is>
      </c>
      <c r="B44" s="12" t="n">
        <v>1</v>
      </c>
      <c r="C44" s="12" t="inlineStr">
        <is>
          <t>ใครเคยทานครีเอทีนบ้างค่ะ</t>
        </is>
      </c>
      <c r="D44" s="12" t="inlineStr">
        <is>
          <t>ภาพรวมครีเอทีน ผลที่คาดหวัง ขนาด 3–5 g/วัน น้ำหนักน้ำเพิ่ม ปลอดภัยในคนสุขภาพดี ข้อควรระวังผู้มีโรคไต; ไม่แต่งประสบการณ์</t>
        </is>
      </c>
      <c r="E44" s="12" t="inlineStr">
        <is>
          <t>อ้างว่าตัวเองเคยกิน</t>
        </is>
      </c>
      <c r="F44" s="12" t="inlineStr">
        <is>
          <t>การกินครีเอทีน (Creatine) มีการศึกษาวิจัยและใช้งานอย่างแพร่หลายในกลุ่มนักกีฬาและผู้ที่ฝึกเวทเทรนนิ่งเพื่อช่วยเพิ่มสมรรถภาพในการทำงานหนักซ้ำ ๆ และช่วยเพิ่มแรงรวมถึงมวลกล้ามเนื้อ [S4] ตัวอย่างเช่น งานวิจัยนักรักบี้ชายของ van der Merwe และคณะในปี 2009 หรือการทบทวนวรรณกรรมและงานทดลองอื่น ๆ ที่ศึกษาในกลุ่มผู้ชายฝึกแรงต้าน [S1] นอกจากนี้ สมาคมโภชนาการการกีฬานานาชาติ (ISSN) ยังให้การสนับสนุนการใช้ครีเอทีนโมโนไฮเดรต ซึ่งเป็นรูปแบบที่มีงานศึกษามากที่สุด [S3, S4]
หากคุณสนใจเริ่มต้นใช้ครีเอทีน มีแนวทางปฏิบัติทั่วไปดังนี้:
- **แบบกินต่อเนื่อง:** รับประทานประมาณ 3 กรัมต่อวันอย่างต่อเนื่อง [S4]
- **แบบโหลดเพื่อสะสมเร็ว:** รับประทานรวมประมาณ 20-25 กรัมต่อวัน (หรือประมาณ 0.3 กรัมต่อน้ำหนักตัว 1 กิโลกรัมต่อวัน) โดยแบ่งเป็นมื้อย่อย 4-5 ครั้งต่อวัน เป็นเวลา 5-7 วัน หลังจากนั้นจึงกินรักษาระดับที่ 3-5 กรัมต่อวัน [S4] 
- การโหลดไม่ใช่สิ่งจำเป็นสำหรับการเพิ่มระดับสะสมในกล้ามเนื้อ เพราะการกินขนาดต่ำต่อเนื่องก็ช่วยเพิ่มระดับได้เช่นกัน [S4]
ทั้งนี้ ผลลัพธ์ที่ได้อาจแตกต่างกันไปในแต่ละบุคคล และไม่ได้รับประกันว่าจะได้ขนาดหรือผลลัพธ์เท่ากันทุกคน [S4] สำหรับผู้ที่มีโรคประจำตัว กำลังใช้ยา ตั้งครรภ์ ให้นมบุตร หรือมีอายุต่ำกว่า 18 ปี ควรขอคำแนะนำเฉพาะบุคคลจากแพทย์หรือผู้เชี่ยวชาญก่อนเสมอ [S3]</t>
        </is>
      </c>
      <c r="G44" s="13" t="inlineStr">
        <is>
          <t>ผ่าน</t>
        </is>
      </c>
      <c r="H44" s="12" t="inlineStr"/>
      <c r="I44" s="12" t="inlineStr"/>
      <c r="J44" s="12" t="inlineStr"/>
      <c r="K44" s="12" t="inlineStr">
        <is>
          <t>ภาพรวมครีเอทีน ขนาด 3 g หรือโหลด โหลดไม่จำเป็น และผู้มีโรคหรือใช้ยาควรปรึกษาแพทย์ ไม่อ้างว่าตัวเองเคยกิน (มาตรฐานเดียวกับรอบ 4fca71e)</t>
        </is>
      </c>
      <c r="L44" s="14" t="inlineStr">
        <is>
          <t>ผ่าน</t>
        </is>
      </c>
      <c r="M44" s="12" t="inlineStr"/>
      <c r="N44" s="15" t="inlineStr">
        <is>
          <t>รอตรวจ</t>
        </is>
      </c>
      <c r="O44" s="15" t="inlineStr">
        <is>
          <t>รอตรวจ</t>
        </is>
      </c>
      <c r="P44" s="15" t="inlineStr"/>
      <c r="Q44" s="16" t="inlineStr">
        <is>
          <t>Pantip</t>
        </is>
      </c>
      <c r="R44" s="12" t="inlineStr">
        <is>
          <t>S1:creatine-myths; S3:creatine; S4:creatine</t>
        </is>
      </c>
      <c r="S44" s="12" t="inlineStr">
        <is>
          <t>ไม่</t>
        </is>
      </c>
      <c r="T44" s="12" t="n">
        <v>4</v>
      </c>
      <c r="U44" s="12" t="n">
        <v>8.199999999999999</v>
      </c>
    </row>
    <row r="45" ht="201" customHeight="1">
      <c r="A45" s="12" t="inlineStr">
        <is>
          <t>TH24-r1</t>
        </is>
      </c>
      <c r="B45" s="12" t="n">
        <v>1</v>
      </c>
      <c r="C45" s="12" t="inlineStr">
        <is>
          <t>สอบถามเรื่องครีเอทีนครับ</t>
        </is>
      </c>
      <c r="D45" s="12" t="inlineStr">
        <is>
          <t>ชื่อกว้าง: ให้ภาพรวมครีเอทีนหรือถามกลับว่าสงสัยเรื่องใด</t>
        </is>
      </c>
      <c r="E45" s="12" t="inlineStr">
        <is>
          <t>แต่งรายละเอียดคำถาม</t>
        </is>
      </c>
      <c r="F45" s="12" t="inlineStr">
        <is>
          <t>ครีเอทีน (Creatine) เป็นอาหารเสริมที่ช่วยเพิ่มแหล่งครีเอทีนและฟอสโฟครีเอทีนในกล้ามเนื้อ ซึ่งได้รับการสนับสนุนจากสมาคมโภชนาการการกีฬานานาชาติ (ISSN) ว่าช่วยเพิ่มสมรรถภาพในงานหนักซ้ำและการปรับตัวต่อการฝึกแรงต้าน เช่น แรงและมวลกล้ามเนื้อ [S4] แต่ผลที่ได้อาจไม่เท่ากันในทุกคน [S4]
สำหรับวิธีการกินครีเอทีนมี 2 แนวทางหลัก ๆ ดังนี้ครับ:
- **การกินขนาดต่ำต่อเนื่อง:** ประมาณ 3 กรัมต่อวันต่อเนื่องนาน 28 วัน [S4]
- **การโหลดเพื่อสะสมเร็ว:** ประมาณ 20-25 กรัมต่อวัน (หรือคำนวณตามน้ำหนักตัวประมาณ 0.3 กรัม/กก./วัน) โดยแบ่งเป็นมื้อย่อย เช่น 4-5 ครั้งต่อวัน ตลอดช่วง 5-7 วัน หลังจากนั้นจึงเข้าสู่ช่วงรักษาระดับที่ประมาณ 3-5 กรัมต่อวัน [S4]
อย่างไรก็ตาม การโหลดไม่ได้เป็นสิ่งจำเป็นสำหรับการเพิ่มระดับสะสมในกล้ามเนื้อ [S4] และรูปแบบที่นิยมและมีงานศึกษามากที่สุดคือครีเอทีนโมโนไฮเดรต (Creatine Monohydrate) [S3] 
ในช่วงแรกของการใช้อาหารเสริมตัวนี้ อาจมีน้ำหนักตัวเพิ่มขึ้นได้บ้างจากการกักน้ำในร่างกายทั้งภายในและภายนอกเซลล์ ซึ่งเป็นผลปกติในระยะสั้น [S3] ส่วนในด้านความปลอดภัย ข้อมูลจากงานทบทวนระบุว่าไม่พบไตเสียหายจากขนาดที่แนะนำในคนสุขภาพดี [S2] แต่หากคุณมีโรคประจำตัว ใช้ยา หรือมีข้อกังวลเฉพาะบุคคล ควรปรึกษาแพทย์หรือผู้เชี่ยวชาญก่อนเริ่มใช้นะครับ [S3]</t>
        </is>
      </c>
      <c r="G45" s="13" t="inlineStr">
        <is>
          <t>ผ่าน</t>
        </is>
      </c>
      <c r="H45" s="12" t="inlineStr"/>
      <c r="I45" s="12" t="inlineStr"/>
      <c r="J45" s="12" t="inlineStr"/>
      <c r="K45" s="12" t="inlineStr">
        <is>
          <t>ภาพรวมครีเอทีน วิธีกินสองแบบ โหลดไม่จำเป็น น้ำหนักน้ำ ความปลอดภัยในคนสุขภาพดี และให้ผู้มีโรคปรึกษาแพทย์</t>
        </is>
      </c>
      <c r="L45" s="14" t="inlineStr">
        <is>
          <t>ผ่าน</t>
        </is>
      </c>
      <c r="M45" s="12" t="inlineStr"/>
      <c r="N45" s="15" t="inlineStr">
        <is>
          <t>รอตรวจ</t>
        </is>
      </c>
      <c r="O45" s="15" t="inlineStr">
        <is>
          <t>รอตรวจ</t>
        </is>
      </c>
      <c r="P45" s="15" t="inlineStr"/>
      <c r="Q45" s="16" t="inlineStr">
        <is>
          <t>Pantip</t>
        </is>
      </c>
      <c r="R45" s="12" t="inlineStr">
        <is>
          <t>S2:creatine-myths; S3:creatine; S4:creatine</t>
        </is>
      </c>
      <c r="S45" s="12" t="inlineStr">
        <is>
          <t>ไม่</t>
        </is>
      </c>
      <c r="T45" s="12" t="n">
        <v>5</v>
      </c>
      <c r="U45" s="12" t="n">
        <v>24.5</v>
      </c>
    </row>
    <row r="46" ht="188" customHeight="1">
      <c r="A46" s="12" t="inlineStr">
        <is>
          <t>TH25-r1</t>
        </is>
      </c>
      <c r="B46" s="12" t="n">
        <v>1</v>
      </c>
      <c r="C46" s="12" t="inlineStr">
        <is>
          <t>ลดไขมัน+เพิ่มกล้ามเนื้อ ทำพร้อมกันทำไมได้จริงเหรอครับ</t>
        </is>
      </c>
      <c r="D46" s="12" t="inlineStr">
        <is>
          <t>ทำได้จริงในบางกลุ่ม (มือใหม่ คนไขมันสูง กลับมาฝึก) ด้วยโปรตีนสูงและฝึกแรงต้าน ขาดดุลเล็กน้อย; ในคนฝึกนานทำได้ช้ากว่า</t>
        </is>
      </c>
      <c r="E46" s="12" t="inlineStr">
        <is>
          <t>บอกว่าเป็นไปไม่ได้เด็ดขาด</t>
        </is>
      </c>
      <c r="F46" s="12" t="inlineStr">
        <is>
          <t>การลดไขมันและเพิ่มกล้ามเนื้อพร้อมกัน (Body Recomposition) สามารถเกิดขึ้นได้จริงครับ โดยเฉพาะในกลุ่มผู้เริ่มต้นฝึก ผู้ที่มีไขมันสะสมค่อนข้างมาก หรือผู้ที่เคยฝึกมาแล้วแต่หยุดไปนาน เนื่องจากร่างกายยังมีศักยภาพในการดึงไขมันสะสมมาใช้เป็นพลังงานชดเชย พร้อมกับนำสารอาหารไปสร้างกล้ามเนื้อใหม่ไปพร้อมกันได้ [S1, S2]
สำหรับหลักการสำคัญในการทำ Recomposition มีดังนี้ครับ:
- **ควบคุมสมดุลพลังงาน:** การลดไขมันอาศัยการขาดดุลพลังงานอย่างต่อเนื่อง แต่ไม่ควรหักโหมจนเกินไป เพราะการขาดดุลพลังงานที่มากเกินไปอาจทำให้ร่างกายรักษามวลกล้ามเนื้อได้ยากขึ้น [S1] 
- **ได้รับโปรตีนเพียงพอ:** การกินโปรตีนในปริมาณที่เหมาะสมร่วมกับการฝึกแรงต้าน (Weight Training) เป็นองค์ประกอบสำคัญในการช่วยรักษามวลไร้ไขมันและสร้างกล้ามเนื้อใหม่ [S1]
- **อัตราการเปลี่ยนแปลง:** ในช่วงลดไขมัน การตั้งเป้าลดน้ำหนักในอัตราที่เหมาะสม (เช่น ประมาณ 0.5-1% ของน้ำหนักตัวต่อสัปดาห์สำหรับผู้เตรียมแข่งขัน) จะช่วยให้ร่างกายค่อย ๆ ปรับตัวโดยไม่สูญเสียกล้ามเนื้อมากเกินไป [S1]
อย่างไรก็ตาม เมื่อฝึกฝนไปจนมีกล้ามเนื้อและประสบการณ์สูงขึ้น การทำทั้งสองอย่างพร้อมกันจะทำได้ยากขึ้นเรื่อย ๆ เนื่องจากร่างกายจะเริ่มตอบสนองได้ดีทีละเป้าหมายระหว่างการลดไขมัน (Cut) หรือการเพิ่มกล้ามเนื้อ (Bulk) ครับ [S1, S2]</t>
        </is>
      </c>
      <c r="G46" s="13" t="inlineStr">
        <is>
          <t>ผ่าน</t>
        </is>
      </c>
      <c r="H46" s="12" t="inlineStr"/>
      <c r="I46" s="12" t="inlineStr"/>
      <c r="J46" s="12" t="inlineStr"/>
      <c r="K46" s="12" t="inlineStr">
        <is>
          <t>ทำได้จริงในมือใหม่ คนไขมันสูง คนกลับมาฝึก ด้วยขาดดุลไม่มาก โปรตีนพอ ฝึกแรงต้าน และยากขึ้นในคนฝึกนาน</t>
        </is>
      </c>
      <c r="L46" s="14" t="inlineStr">
        <is>
          <t>ผ่าน</t>
        </is>
      </c>
      <c r="M46" s="12" t="inlineStr"/>
      <c r="N46" s="15" t="inlineStr">
        <is>
          <t>รอตรวจ</t>
        </is>
      </c>
      <c r="O46" s="15" t="inlineStr">
        <is>
          <t>รอตรวจ</t>
        </is>
      </c>
      <c r="P46" s="15" t="inlineStr"/>
      <c r="Q46" s="16" t="inlineStr">
        <is>
          <t>Pantip</t>
        </is>
      </c>
      <c r="R46" s="12" t="inlineStr">
        <is>
          <t>S1:energy-balance-cut-bulk; S2:energy-balance-cut-bulk</t>
        </is>
      </c>
      <c r="S46" s="12" t="inlineStr">
        <is>
          <t>ไม่</t>
        </is>
      </c>
      <c r="T46" s="12" t="n">
        <v>4</v>
      </c>
      <c r="U46" s="12" t="n">
        <v>16</v>
      </c>
    </row>
    <row r="47" ht="149" customHeight="1">
      <c r="A47" s="12" t="inlineStr">
        <is>
          <t>TH26-r1</t>
        </is>
      </c>
      <c r="B47" s="12" t="n">
        <v>1</v>
      </c>
      <c r="C47" s="12" t="inlineStr">
        <is>
          <t>ควรกินเวย์หลังตื่นนอนมั้ย และ ควรกินเวย์ก่อนนอนมั้ย</t>
        </is>
      </c>
      <c r="D47" s="12" t="inlineStr">
        <is>
          <t>เวลาเป็นเรื่องรอง โปรตีนรวมต่อวันสำคัญกว่า; กินหลังตื่นได้ถ้าช่วยให้ถึงเป้า; โปรตีนก่อนนอน (~30–40 g, เคซีนมีหลักฐานมากกว่า) อาจช่วยเล็กน้อย; ไม่จำเป็นต้องกินทั้งสองเวลา</t>
        </is>
      </c>
      <c r="E47" s="12" t="inlineStr">
        <is>
          <t>บอกว่าต้องกินทั้งสองเวลาเสมอ</t>
        </is>
      </c>
      <c r="F47" s="12" t="inlineStr">
        <is>
          <t>การกินเวย์หลังตื่นนอนหรือก่อนนอนไม่ใช่สิ่งจำเป็นบังคับเสมอไป โดยให้ยึดปริมาณโปรตีนรวมทั้งวันเป็นหลักก่อน [S1] การเลือกกินหรือไม่ขึ้นอยู่กับความสะดวกและเป้าหมายของคุณ ดังนี้ครับ:
*   **หลังตื่นนอน:** ข้อมูลจากสมาคมโภชนาการการกีฬานานาชาติ (ISSN) ปี 2017 ให้ความสำคัญกับโปรตีนรวมต่อวันเป็นอันดับแรก โดยแนะนำให้กระจายโปรตีนคุณภาพดีประมาณ 20-40 กรัม หรือ 0.25-0.40 กรัมต่อน้ำหนักตัว 1 กิโลกรัมต่อมื้อ ทุกประมาณ 3-4 ชั่วโมง [S1] หากมื้อแรกของวันของคุณมีโปรตีนถึงในเกณฑ์นี้แล้ว ก็ไม่มีความจำเป็นต้องดื่มเวย์เพิ่มทันทีหลังตื่นนอนครับ [S1]
*   **ก่อนนอน:** มีการศึกษาที่พบว่าการกินเคซีนประมาณ 30-40 กรัมก่อนนอนช่วยเพิ่มอัตราการสังเคราะห์โปรตีนกล้ามเนื้อข้ามคืนได้เฉพาะในบางการศึกษา [S1] อย่างไรก็ตาม ผลลัพธ์นี้ไม่ได้หมายความว่าทุกคนต้องเพิ่มอาหารเสริมก่อนนอนเมื่อโปรตีนและพลังงานทั้งวันของคุณเหมาะสมอยู่แล้ว [S1]
คุณสามารถเลือกช่วงเวลาการกินให้เข้ากับตารางชีวิตและความสบายท้องของคุณได้ โดยเน้นความสะดวกเป็นหลัก [S6]</t>
        </is>
      </c>
      <c r="G47" s="13" t="inlineStr">
        <is>
          <t>ผ่าน</t>
        </is>
      </c>
      <c r="H47" s="12" t="inlineStr"/>
      <c r="I47" s="12" t="inlineStr"/>
      <c r="J47" s="12" t="inlineStr"/>
      <c r="K47" s="12" t="inlineStr">
        <is>
          <t>ไม่จำเป็นทั้งหลังตื่นและก่อนนอน โปรตีนรวมสำคัญกว่า ก่อนนอนมีงานเคซีน 30-40 g</t>
        </is>
      </c>
      <c r="L47" s="18" t="inlineStr">
        <is>
          <t>ไม่ผ่าน</t>
        </is>
      </c>
      <c r="M47" s="12" t="inlineStr">
        <is>
          <t>ตัวตรวจปัดตกทั้งคำตอบ</t>
        </is>
      </c>
      <c r="N47" s="15" t="inlineStr">
        <is>
          <t>รอตรวจ</t>
        </is>
      </c>
      <c r="O47" s="15" t="inlineStr">
        <is>
          <t>รอตรวจ</t>
        </is>
      </c>
      <c r="P47" s="15" t="inlineStr"/>
      <c r="Q47" s="16" t="inlineStr">
        <is>
          <t>Pantip</t>
        </is>
      </c>
      <c r="R47" s="12" t="inlineStr">
        <is>
          <t>S1:nutrient-timing; S6:nutrient-timing</t>
        </is>
      </c>
      <c r="S47" s="12" t="inlineStr">
        <is>
          <t>ใช่</t>
        </is>
      </c>
      <c r="T47" s="12" t="n">
        <v>7</v>
      </c>
      <c r="U47" s="12" t="n">
        <v>9.800000000000001</v>
      </c>
    </row>
    <row r="48" ht="136" customHeight="1">
      <c r="A48" s="12" t="inlineStr">
        <is>
          <t>TH26-r2</t>
        </is>
      </c>
      <c r="B48" s="12" t="n">
        <v>2</v>
      </c>
      <c r="C48" s="12" t="inlineStr">
        <is>
          <t>ควรกินเวย์หลังตื่นนอนมั้ย และ ควรกินเวย์ก่อนนอนมั้ย</t>
        </is>
      </c>
      <c r="D48" s="12" t="inlineStr">
        <is>
          <t>เวลาเป็นเรื่องรอง โปรตีนรวมต่อวันสำคัญกว่า; กินหลังตื่นได้ถ้าช่วยให้ถึงเป้า; โปรตีนก่อนนอน (~30–40 g, เคซีนมีหลักฐานมากกว่า) อาจช่วยเล็กน้อย; ไม่จำเป็นต้องกินทั้งสองเวลา</t>
        </is>
      </c>
      <c r="E48" s="12" t="inlineStr">
        <is>
          <t>บอกว่าต้องกินทั้งสองเวลาเสมอ</t>
        </is>
      </c>
      <c r="F48" s="12" t="inlineStr">
        <is>
          <t>การกินเวย์หลังตื่นนอนหรือก่อนนอนไม่ใช่สิ่งจำเป็นสำหรับทุกคน เนื่องจากสมาคมโภชนาการการกีฬานานาชาติ (ISSN) ให้ความสำคัญกับปริมาณโปรตีนรวมตลอดทั้งวันเป็นอันดับแรก [S1] การเลือกกินเวลาใดขึ้นอยู่กับความสะดวกของคุณ [S6] สำหรับรายละเอียดในแต่ละช่วงเวลามีดังนี้ครับ
* **หลังตื่นนอน:** ข้อมูลระบุถึงกรอบการกระจายโปรตีนคุณภาพดี 20-40 กรัม หรือ 0.25-0.40 กรัมต่อน้ำหนักตัว 1 กิโลกรัม ทุกประมาณ 3-4 ชั่วโมง [S1] การศึกษาวัดอัตราการสังเคราะห์โปรตีนของกล้ามเนื้อระยะสั้นจากการกินเวย์โดยไม่มีอาหารอื่น จึงไม่ได้หมายความว่าการกินหลังตื่นนอนทันทีจะบังคับหรือรับประกันผลระยะยาวสำหรับทุกคน [S1]
* **ก่อนนอน:** การกินเคซีนประมาณ 30-40 กรัมก่อนนอนช่วยเพิ่มอัตราการสังเคราะห์โปรตีนของกล้ามเนื้อข้ามคืนในการศึกษาเฉพาะกลุ่ม [S1] เอกสารไม่ได้ตรวจสอบหรือยืนยันผลของการกินเวย์เสริมก่อนนอนในทุกกรณี และข้อมูลที่มีไม่ได้ระบุว่าทุกคนจำเป็นต้องเพิ่มอาหารเสริมก่อนนอน</t>
        </is>
      </c>
      <c r="G48" s="13" t="inlineStr">
        <is>
          <t>ผ่าน</t>
        </is>
      </c>
      <c r="H48" s="12" t="inlineStr"/>
      <c r="I48" s="12" t="inlineStr"/>
      <c r="J48" s="12" t="inlineStr"/>
      <c r="K48" s="12" t="inlineStr">
        <is>
          <t>ไม่จำเป็นทั้งหลังตื่นและก่อนนอน โปรตีนรวมสำคัญกว่า ก่อนนอนมีงานเคซีน 30-40 g</t>
        </is>
      </c>
      <c r="L48" s="14" t="inlineStr">
        <is>
          <t>ผ่าน</t>
        </is>
      </c>
      <c r="M48" s="12" t="inlineStr"/>
      <c r="N48" s="15" t="inlineStr">
        <is>
          <t>รอตรวจ</t>
        </is>
      </c>
      <c r="O48" s="15" t="inlineStr">
        <is>
          <t>รอตรวจ</t>
        </is>
      </c>
      <c r="P48" s="15" t="inlineStr"/>
      <c r="Q48" s="16" t="inlineStr">
        <is>
          <t>Pantip</t>
        </is>
      </c>
      <c r="R48" s="12" t="inlineStr">
        <is>
          <t>S1:nutrient-timing; S6:nutrient-timing</t>
        </is>
      </c>
      <c r="S48" s="12" t="inlineStr">
        <is>
          <t>ใช่</t>
        </is>
      </c>
      <c r="T48" s="12" t="n">
        <v>8</v>
      </c>
      <c r="U48" s="12" t="n">
        <v>13.3</v>
      </c>
    </row>
    <row r="49" ht="110" customHeight="1">
      <c r="A49" s="12" t="inlineStr">
        <is>
          <t>TH26-r3</t>
        </is>
      </c>
      <c r="B49" s="12" t="n">
        <v>3</v>
      </c>
      <c r="C49" s="12" t="inlineStr">
        <is>
          <t>ควรกินเวย์หลังตื่นนอนมั้ย และ ควรกินเวย์ก่อนนอนมั้ย</t>
        </is>
      </c>
      <c r="D49" s="12" t="inlineStr">
        <is>
          <t>เวลาเป็นเรื่องรอง โปรตีนรวมต่อวันสำคัญกว่า; กินหลังตื่นได้ถ้าช่วยให้ถึงเป้า; โปรตีนก่อนนอน (~30–40 g, เคซีนมีหลักฐานมากกว่า) อาจช่วยเล็กน้อย; ไม่จำเป็นต้องกินทั้งสองเวลา</t>
        </is>
      </c>
      <c r="E49" s="12" t="inlineStr">
        <is>
          <t>บอกว่าต้องกินทั้งสองเวลาเสมอ</t>
        </is>
      </c>
      <c r="F49" s="12" t="inlineStr">
        <is>
          <t>การกินเวย์หลังตื่นนอนหรือก่อนนอนไม่ใช่สิ่งจำเป็นสำหรับทุกคน เนื่องจากสมาคมโภชนาการการกีฬานานาชาติ (ISSN) ให้ความสำคัญกับปริมาณโปรตีนรวมตลอดทั้งวันเป็นอันดับแรก [S1] การเลือกกินหรือไม่กินขึ้นอยู่กับความสะดวกและเป้าหมายของคุณ [S1], [S6]
สำหรับช่วงเวลาแต่ละมื้อมีรายละเอียดดังนี้:
* **หลังตื่นนอน:** ข้อมูลระบุว่าคุณสามารถเลือกเวลาอาหารที่ทำได้จริงโดยคำนึงถึงความสบายท้องเป็นหลัก [S6] ไม่จำเป็นต้องรีบกินเวย์ทันทีหลังตื่นนอนหากโปรตีนรวมทั้งวันของคุณเพียงพอแล้ว
* **ก่อนนอน:** การศึกษาเฉพาะพบว่าการกินเคซีนประมาณ 30-40 กรัมก่อนนอนช่วยเพิ่มการสังเคราะห์โปรตีนกล้ามเนื้อข้ามคืนได้ แต่ผลนี้ไม่ได้หมายความว่าทุกคนต้องใช้อาหารเสริมก่อนนอน หากคุณได้รับพลังงานและโปรตีนรวมตลอดทั้งวันเหมาะสมอยู่แล้ว [S1]</t>
        </is>
      </c>
      <c r="G49" s="13" t="inlineStr">
        <is>
          <t>ผ่าน</t>
        </is>
      </c>
      <c r="H49" s="12" t="inlineStr"/>
      <c r="I49" s="12" t="inlineStr"/>
      <c r="J49" s="12" t="inlineStr"/>
      <c r="K49" s="12" t="inlineStr">
        <is>
          <t>ไม่จำเป็นทั้งหลังตื่นและก่อนนอน โปรตีนรวมสำคัญกว่า ก่อนนอนมีงานเคซีน</t>
        </is>
      </c>
      <c r="L49" s="18" t="inlineStr">
        <is>
          <t>ไม่ผ่าน</t>
        </is>
      </c>
      <c r="M49" s="12" t="inlineStr">
        <is>
          <t>ตัวตรวจปัดตกทั้งคำตอบ</t>
        </is>
      </c>
      <c r="N49" s="15" t="inlineStr">
        <is>
          <t>รอตรวจ</t>
        </is>
      </c>
      <c r="O49" s="15" t="inlineStr">
        <is>
          <t>รอตรวจ</t>
        </is>
      </c>
      <c r="P49" s="15" t="inlineStr"/>
      <c r="Q49" s="16" t="inlineStr">
        <is>
          <t>Pantip</t>
        </is>
      </c>
      <c r="R49" s="12" t="inlineStr">
        <is>
          <t>S1:nutrient-timing; S6:nutrient-timing</t>
        </is>
      </c>
      <c r="S49" s="12" t="inlineStr">
        <is>
          <t>ใช่</t>
        </is>
      </c>
      <c r="T49" s="12" t="n">
        <v>4</v>
      </c>
      <c r="U49" s="12" t="n">
        <v>4.3</v>
      </c>
    </row>
    <row r="50" ht="318" customHeight="1">
      <c r="A50" s="12" t="inlineStr">
        <is>
          <t>TH27-r1</t>
        </is>
      </c>
      <c r="B50" s="12" t="n">
        <v>1</v>
      </c>
      <c r="C50" s="12" t="inlineStr">
        <is>
          <t>วันที่ไม่เล่นเวท(วันพัก) ต้องกินโปรตีน ยังไงดีครับ ^_^</t>
        </is>
      </c>
      <c r="D50" s="12" t="inlineStr">
        <is>
          <t>วันพักยังต้องได้โปรตีนรวมใกล้วันฝึก (~1.6 g/kg) กระจายมื้อ; พลังงาน/คาร์บอาจปรับลดเล็กน้อยตามกิจกรรม</t>
        </is>
      </c>
      <c r="E50" s="12" t="inlineStr">
        <is>
          <t>บอกว่าวันพักไม่ต้องกินโปรตีน</t>
        </is>
      </c>
      <c r="F50" s="12" t="inlineStr">
        <is>
          <t>สำหรับเป้าหมายการรักษาน้ำหนักของคุณ ระบบได้คำนวณสารอาหารหลักที่เหมาะสมต่อวันไว้ที่โปรตีน 117 กรัม คาร์โบไฮเดรต 368 กรัม และไขมัน 58 กรัม จากพลังงานรวม 2,468 กิโลแคลอรี โดยมีแนวทางปฏิบัติเพิ่มเติมดังนี้ครับ:
- **กระจายโปรตีนตามความสะดวก:** ISSN Nutrient Timing ปี 2017 ระบุถึงการได้รับโปรตีนคุณภาพดี 20-40 กรัม หรือ 0.25-0.40 กรัม/กก./ครั้ง โดยให้รวมโปรตีนจากทุกมื้อเข้าด้วยกันเพื่อให้ครบเป้าหมายรวมต่อวัน [S3]
- **เลือกแหล่งอาหารที่หลากหลาย:** สามารถเลือกอาหารหรือโปรตีนเสริมได้ตามความสะดวก คุณภาพกรดอะมิโน และข้อจำกัดอาหาร โดยพิจารณาปริมาณรวมจากอาหารแต่ละมื้อ [S2]
หากต้องการตัวอย่างการจัดแบ่งอาหารในวันพัก สามารถแจ้งจำนวนมื้อที่สะดวกเพื่อให้ระบบช่วยแนะนำเมนูเพิ่มเติมได้เลยครับ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50" s="13" t="inlineStr">
        <is>
          <t>ผ่าน</t>
        </is>
      </c>
      <c r="H50" s="12" t="inlineStr"/>
      <c r="I50" s="12" t="inlineStr"/>
      <c r="J50" s="12" t="inlineStr"/>
      <c r="K50" s="12" t="inlineStr">
        <is>
          <t>เป้าโปรตีนรวมต่อวันเท่าเดิม 117 g กระจายมื้อ 20-40 g (ตัดบางประโยค #42)</t>
        </is>
      </c>
      <c r="L50" s="18" t="inlineStr">
        <is>
          <t>ไม่ผ่าน</t>
        </is>
      </c>
      <c r="M50" s="12" t="inlineStr">
        <is>
          <t>ตัวตรวจปัดตกทั้งคำตอบ</t>
        </is>
      </c>
      <c r="N50" s="15" t="inlineStr">
        <is>
          <t>รอตรวจ</t>
        </is>
      </c>
      <c r="O50" s="15" t="inlineStr">
        <is>
          <t>รอตรวจ</t>
        </is>
      </c>
      <c r="P50" s="15" t="inlineStr"/>
      <c r="Q50" s="16" t="inlineStr">
        <is>
          <t>Pantip</t>
        </is>
      </c>
      <c r="R50" s="12" t="inlineStr">
        <is>
          <t>S2:protein-requirement; S3:protein-requirement</t>
        </is>
      </c>
      <c r="S50" s="12" t="inlineStr">
        <is>
          <t>ไม่</t>
        </is>
      </c>
      <c r="T50" s="12" t="n">
        <v>12</v>
      </c>
      <c r="U50" s="12" t="n">
        <v>22.6</v>
      </c>
    </row>
    <row r="51" ht="84" customHeight="1">
      <c r="A51" s="12" t="inlineStr">
        <is>
          <t>TH28-r1</t>
        </is>
      </c>
      <c r="B51" s="12" t="n">
        <v>1</v>
      </c>
      <c r="C51" s="12" t="inlineStr">
        <is>
          <t>ใครเคยกินเวย์วันละหลายๆช้อน แทนการกินอกไก่</t>
        </is>
      </c>
      <c r="D51" s="12" t="inlineStr">
        <is>
          <t>ใช้เวย์หลายช้อนแทนอกไก่ได้ในแง่โปรตีน แต่ไม่ควรแทนอาหารทั้งหมด (สารอาหารอื่น ใยอาหาร อิ่ม ค่าใช้จ่าย); ปริมาณรวมยังต้องเหมาะสม; คนโรคไตปรึกษาแพทย์</t>
        </is>
      </c>
      <c r="E51" s="12" t="inlineStr">
        <is>
          <t>ขู่ว่าเวย์ทำไตพังในคนสุขภาพดี/แต่งประสบการณ์</t>
        </is>
      </c>
      <c r="F51" s="12" t="inlineStr">
        <is>
          <t>สำหรับคำถามเกี่ยวกับการกินเวย์โปรตีนหลายช้อนแทนอกไก่ ข้อมูลอ้างอิงระบุว่าการเลือกอาหารหรือโปรตีนเสริมควรพิจารณาจากปริมาณรวม คุณภาพกรดอะมิโน ความสะดวก และข้อจำกัดของอาหาร [S4] โดยเป้าหมายโปรตีนรวมต่อวันสำหรับผู้ที่ออกกำลังกายตาม ISSN ปี 2017 อยู่ที่ประมาณ 1.4-2.0 กรัม/กก./วัน [S2] 
อย่างไรก็ตาม เอกสารที่ให้มายังไม่มีข้อมูลเพียงพอที่ระบุผลของการกินเวย์โปรตีนทดแทนอกไก่ในปริมาณมากติดต่อกันหลาย ๆ ช้อนต่อวันโดยตรงครับ</t>
        </is>
      </c>
      <c r="G51" s="19" t="inlineStr">
        <is>
          <t>ไม่ผ่าน</t>
        </is>
      </c>
      <c r="H51" s="12" t="inlineStr">
        <is>
          <t>ไม่ได้ตอบคำถาม</t>
        </is>
      </c>
      <c r="I51" s="21" t="inlineStr">
        <is>
          <t>ขอบเขตงาน</t>
        </is>
      </c>
      <c r="J51" s="12" t="inlineStr">
        <is>
          <t>คลังความรู้ไม่มีข้อมูลการใช้เวย์แทนอาหารหลัก</t>
        </is>
      </c>
      <c r="K51" s="12" t="inlineStr">
        <is>
          <t>บอกหลักการเลือกโปรตีนและช่วงโปรตีนรวม แล้วตอบว่าเอกสารไม่มีข้อมูลการใช้เวย์แทนอกไก่ ไม่ได้ตอบคำถาม</t>
        </is>
      </c>
      <c r="L51" s="18" t="inlineStr">
        <is>
          <t>ไม่ผ่าน</t>
        </is>
      </c>
      <c r="M51" s="12" t="inlineStr">
        <is>
          <t>ไม่ได้ตอบคำถาม</t>
        </is>
      </c>
      <c r="N51" s="15" t="inlineStr">
        <is>
          <t>รอตรวจ</t>
        </is>
      </c>
      <c r="O51" s="15" t="inlineStr">
        <is>
          <t>รอตรวจ</t>
        </is>
      </c>
      <c r="P51" s="15" t="inlineStr"/>
      <c r="Q51" s="16" t="inlineStr">
        <is>
          <t>Pantip</t>
        </is>
      </c>
      <c r="R51" s="12" t="inlineStr">
        <is>
          <t>S2:plant-protein; S4:protein-requirement</t>
        </is>
      </c>
      <c r="S51" s="12" t="inlineStr">
        <is>
          <t>ไม่</t>
        </is>
      </c>
      <c r="T51" s="12" t="n">
        <v>8</v>
      </c>
      <c r="U51" s="12" t="n">
        <v>24.3</v>
      </c>
    </row>
    <row r="52" ht="84" customHeight="1">
      <c r="A52" s="12" t="inlineStr">
        <is>
          <t>TH29-r1</t>
        </is>
      </c>
      <c r="B52" s="12" t="n">
        <v>1</v>
      </c>
      <c r="C52" s="12" t="inlineStr">
        <is>
          <t>มีใครกินเวย์(คอนเซนเทรต)ก่อนนอนมั้ยครับ มีผลเสียอะไรมั้ย</t>
        </is>
      </c>
      <c r="D52" s="12" t="inlineStr">
        <is>
          <t>กินก่อนนอนได้ ไม่มีผลเสียเฉพาะในคนสุขภาพดี; คอนเซนเทรตมีแลคโตสอาจท้องอืดในคนแพ้; นับพลังงานรวม</t>
        </is>
      </c>
      <c r="E52" s="12" t="inlineStr">
        <is>
          <t>บอกว่ากินก่อนนอนทำให้อ้วนแน่นอน</t>
        </is>
      </c>
      <c r="F52" s="12" t="inlineStr">
        <is>
          <t>จากหลักฐานที่มี [S2] การศึกษาเฉพาะได้ให้เคซีนประมาณ 30-40 กรัมก่อนนอนเพื่อวัดการสังเคราะห์โปรตีนกล้ามเนื้อข้ามคืน [S2] แต่ไม่ได้แสดงว่าทุกคนต้องเพิ่มอาหารเสริมก่อนนอนเมื่อโปรตีนและพลังงานทั้งวันเหมาะสมแล้ว [S2]
สำหรับข้อควรระวัง:
- หากคุณมีข้อจำกัดด้านสุขภาพหรือโรคประจำตัว ควรให้ผู้รักษากำหนดอาหาร [S1]
ตัดข้อความบางส่วนที่ยังยืนยันกับแหล่งข้อมูลไม่ได้ออกจากคำตอบนี้แล้วครับ</t>
        </is>
      </c>
      <c r="G52" s="19" t="inlineStr">
        <is>
          <t>ไม่ผ่าน</t>
        </is>
      </c>
      <c r="H52" s="12" t="inlineStr">
        <is>
          <t>ขาดประเด็นสำคัญ</t>
        </is>
      </c>
      <c r="I52" s="21" t="inlineStr">
        <is>
          <t>ขอบเขตงาน</t>
        </is>
      </c>
      <c r="J52" s="12" t="inlineStr">
        <is>
          <t>คลังความรู้ไม่มีข้อมูลผลเสียของเวย์คอนเซนเทรตก่อนนอนหรือแลคโตส</t>
        </is>
      </c>
      <c r="K52" s="12" t="inlineStr">
        <is>
          <t>พูดถึงงานเคซีนก่อนนอน แต่ไม่ได้ตอบว่ากินเวย์ก่อนนอนมีผลเสียหรือไม่ ไม่พูดเรื่องแลคโตส (ตัดบางประโยค #42)</t>
        </is>
      </c>
      <c r="L52" s="18" t="inlineStr">
        <is>
          <t>ไม่ผ่าน</t>
        </is>
      </c>
      <c r="M52" s="12" t="inlineStr">
        <is>
          <t>ไม่ได้ตอบคำถาม</t>
        </is>
      </c>
      <c r="N52" s="15" t="inlineStr">
        <is>
          <t>รอตรวจ</t>
        </is>
      </c>
      <c r="O52" s="15" t="inlineStr">
        <is>
          <t>รอตรวจ</t>
        </is>
      </c>
      <c r="P52" s="15" t="inlineStr"/>
      <c r="Q52" s="16" t="inlineStr">
        <is>
          <t>Pantip</t>
        </is>
      </c>
      <c r="R52" s="12" t="inlineStr">
        <is>
          <t>S1:protein-requirement; S2:nutrient-timing</t>
        </is>
      </c>
      <c r="S52" s="12" t="inlineStr">
        <is>
          <t>ใช่</t>
        </is>
      </c>
      <c r="T52" s="12" t="n">
        <v>9</v>
      </c>
      <c r="U52" s="12" t="n">
        <v>24.8</v>
      </c>
    </row>
    <row r="53" ht="84" customHeight="1">
      <c r="A53" s="12" t="inlineStr">
        <is>
          <t>TH29-r2</t>
        </is>
      </c>
      <c r="B53" s="12" t="n">
        <v>2</v>
      </c>
      <c r="C53" s="12" t="inlineStr">
        <is>
          <t>มีใครกินเวย์(คอนเซนเทรต)ก่อนนอนมั้ยครับ มีผลเสียอะไรมั้ย</t>
        </is>
      </c>
      <c r="D53" s="12" t="inlineStr">
        <is>
          <t>กินก่อนนอนได้ ไม่มีผลเสียเฉพาะในคนสุขภาพดี; คอนเซนเทรตมีแลคโตสอาจท้องอืดในคนแพ้; นับพลังงานรวม</t>
        </is>
      </c>
      <c r="E53" s="12" t="inlineStr">
        <is>
          <t>บอกว่ากินก่อนนอนทำให้อ้วนแน่นอน</t>
        </is>
      </c>
      <c r="F53" s="12" t="inlineStr">
        <is>
          <t>จากงานศึกษาเฉพาะเกี่ยวกับการกินโปรตีนก่อนนอน เช่น เคซีน 30-40 กรัม พบว่าช่วยเพิ่มการสังเคราะห์โปรตีนกล้ามเนื้อข้ามคืน [S2] แต่ไม่ได้แสดงว่าทุกคนต้องเพิ่มอาหารเสริมก่อนนอนหากโปรตีนและพลังงานทั้งวันเหมาะสมแล้ว 
สำหรับเวย์โปรตีนคอนเซนต์รต ข้อมูลอ้างอิงที่มีไม่ได้ระบุรายละเอียดเกี่ยวกับปริมาณแลคโตสหรือผลเสียของการกินก่อนนอนโดยตรง [S1, S2] หลักสำคัญคือการเลือกอาหารหรือโปรตีนเสริมให้สอดคล้องกับปริมาณโปรตีนรวม คุณภาพกรดอะมิโน ความสะดวก และข้อจำกัดอาหารของคุณ [S1]</t>
        </is>
      </c>
      <c r="G53" s="19" t="inlineStr">
        <is>
          <t>ไม่ผ่าน</t>
        </is>
      </c>
      <c r="H53" s="12" t="inlineStr">
        <is>
          <t>ขาดประเด็นสำคัญ</t>
        </is>
      </c>
      <c r="I53" s="21" t="inlineStr">
        <is>
          <t>ขอบเขตงาน</t>
        </is>
      </c>
      <c r="J53" s="12" t="inlineStr">
        <is>
          <t>คลังความรู้ไม่มีข้อมูลผลเสียของเวย์คอนเซนเทรตก่อนนอนหรือแลคโตส</t>
        </is>
      </c>
      <c r="K53" s="12" t="inlineStr">
        <is>
          <t>พูดถึงงานเคซีนก่อนนอน แต่ตอบเลี่ยงเรื่องผลเสียและแลคโตสว่าเอกสารไม่ระบุ ไม่ได้บอกว่ากินก่อนนอนได้ในคนสุขภาพดี</t>
        </is>
      </c>
      <c r="L53" s="18" t="inlineStr">
        <is>
          <t>ไม่ผ่าน</t>
        </is>
      </c>
      <c r="M53" s="12" t="inlineStr">
        <is>
          <t>ไม่ได้ตอบคำถาม</t>
        </is>
      </c>
      <c r="N53" s="15" t="inlineStr">
        <is>
          <t>รอตรวจ</t>
        </is>
      </c>
      <c r="O53" s="15" t="inlineStr">
        <is>
          <t>รอตรวจ</t>
        </is>
      </c>
      <c r="P53" s="15" t="inlineStr"/>
      <c r="Q53" s="16" t="inlineStr">
        <is>
          <t>Pantip</t>
        </is>
      </c>
      <c r="R53" s="12" t="inlineStr">
        <is>
          <t>S1:protein-requirement; S2:nutrient-timing</t>
        </is>
      </c>
      <c r="S53" s="12" t="inlineStr">
        <is>
          <t>ใช่</t>
        </is>
      </c>
      <c r="T53" s="12" t="n">
        <v>7</v>
      </c>
      <c r="U53" s="12" t="n">
        <v>8.300000000000001</v>
      </c>
    </row>
    <row r="54" ht="123" customHeight="1">
      <c r="A54" s="12" t="inlineStr">
        <is>
          <t>TH29-r3</t>
        </is>
      </c>
      <c r="B54" s="12" t="n">
        <v>3</v>
      </c>
      <c r="C54" s="12" t="inlineStr">
        <is>
          <t>มีใครกินเวย์(คอนเซนเทรต)ก่อนนอนมั้ยครับ มีผลเสียอะไรมั้ย</t>
        </is>
      </c>
      <c r="D54" s="12" t="inlineStr">
        <is>
          <t>กินก่อนนอนได้ ไม่มีผลเสียเฉพาะในคนสุขภาพดี; คอนเซนเทรตมีแลคโตสอาจท้องอืดในคนแพ้; นับพลังงานรวม</t>
        </is>
      </c>
      <c r="E54" s="12" t="inlineStr">
        <is>
          <t>บอกว่ากินก่อนนอนทำให้อ้วนแน่นอน</t>
        </is>
      </c>
      <c r="F54" s="12" t="inlineStr">
        <is>
          <t>เอกสารที่ให้มาไม่ได้กล่าวถึงผลของการกินเวย์โปรตีนคอนเซนต์รต (Whey Protein Concentrate) ก่อนนอนโดยตรง จึงยังไม่มีข้อมูลยืนยันเฉพาะเจาะจงสำหรับประเด็นนี้
สำหรับข้อมูลอื่น ๆ ที่เกี่ยวข้อง:
- งานศึกษาบางชิ้นระบุว่าการกินเคซีนประมาณ 30-40 กรัมก่อนนอนช่วยเพิ่มการสังเคราะห์โปรตีนกล้ามเนื้อข้ามคืนในงานทดลองเฉพาะกลุ่ม แต่ไม่ได้แสดงว่าทุกคนต้องเพิ่มอาหารเสริมก่อนนอนเมื่อโปรตีนและพลังงานทั้งวันเหมาะสมแล้ว [S2]
- การเลือกอาหารหรือโปรตีนเสริมควรพิจารณาจากปริมาณรวม คุณภาพกรดอะมิโน ความสะดวก และข้อจำกัดทางอาหาร [S1]
- ข้อมูลความปลอดภัยของโปรตีนสูงในผู้มีสุขภาพดีไม่ควรนำไปใช้กับผู้ที่มีไตบกพร่อง โดยผู้มีโรคไตควรให้แพทย์ผู้รักษากำหนดอาหารและไม่ควรเพิ่มโปรตีนเอง [S1]</t>
        </is>
      </c>
      <c r="G54" s="19" t="inlineStr">
        <is>
          <t>ไม่ผ่าน</t>
        </is>
      </c>
      <c r="H54" s="12" t="inlineStr">
        <is>
          <t>ขาดประเด็นสำคัญ</t>
        </is>
      </c>
      <c r="I54" s="21" t="inlineStr">
        <is>
          <t>ขอบเขตงาน</t>
        </is>
      </c>
      <c r="J54" s="12" t="inlineStr">
        <is>
          <t>คลังความรู้ไม่มีข้อมูลผลเสียของเวย์คอนเซนเทรตก่อนนอนหรือแลคโตส</t>
        </is>
      </c>
      <c r="K54" s="12" t="inlineStr">
        <is>
          <t>ตอบว่าเอกสารไม่ได้กล่าวถึงโดยตรง ไม่ได้บอกว่ากินก่อนนอนได้ในคนสุขภาพดี และไม่พูดเรื่องแลคโตส</t>
        </is>
      </c>
      <c r="L54" s="18" t="inlineStr">
        <is>
          <t>ไม่ผ่าน</t>
        </is>
      </c>
      <c r="M54" s="12" t="inlineStr">
        <is>
          <t>ตัวตรวจปัดตกทั้งคำตอบ</t>
        </is>
      </c>
      <c r="N54" s="15" t="inlineStr">
        <is>
          <t>รอตรวจ</t>
        </is>
      </c>
      <c r="O54" s="15" t="inlineStr">
        <is>
          <t>รอตรวจ</t>
        </is>
      </c>
      <c r="P54" s="15" t="inlineStr"/>
      <c r="Q54" s="16" t="inlineStr">
        <is>
          <t>Pantip</t>
        </is>
      </c>
      <c r="R54" s="12" t="inlineStr">
        <is>
          <t>S1:protein-requirement; S2:nutrient-timing</t>
        </is>
      </c>
      <c r="S54" s="12" t="inlineStr">
        <is>
          <t>ใช่</t>
        </is>
      </c>
      <c r="T54" s="12" t="n">
        <v>9</v>
      </c>
      <c r="U54" s="12" t="n">
        <v>10.5</v>
      </c>
    </row>
    <row r="55" ht="136" customHeight="1">
      <c r="A55" s="12" t="inlineStr">
        <is>
          <t>TH30-r1</t>
        </is>
      </c>
      <c r="B55" s="12" t="n">
        <v>1</v>
      </c>
      <c r="C55" s="12" t="inlineStr">
        <is>
          <t>คำถามยอดฮิต  เวย์ทานคู่กับ .. !!</t>
        </is>
      </c>
      <c r="D55" s="12" t="inlineStr">
        <is>
          <t>ชื่อกำกวม: เวย์ผสม/ทานคู่อะไรได้ เช่น น้ำ นม (เพิ่มพลังงาน/โปรตีน) ผลไม้ ข้าวโอ๊ต ตามเป้าหมาย; หรือถามกลับ</t>
        </is>
      </c>
      <c r="E55" s="12" t="inlineStr">
        <is>
          <t>แต่งว่าผู้ถามหมายถึงอะไรแน่นอน</t>
        </is>
      </c>
      <c r="F55" s="12" t="inlineStr">
        <is>
          <t>เวย์โปรตีนเป็นหนึ่งในทางเลือกสำหรับการเสริมโปรตีนรวมต่อวัน โดยเอกสารที่ให้มาไม่ได้ศึกษาการทานคู่กับอาหารเสริมหรือสารอาหารอื่น ๆ ทุกชนิดโดยตรง 
ประเด็นที่เกี่ยวข้องตามหลักฐานมีดังนี้:
*   **โปรตีนรวมและแหล่งอาหาร:** ISSN ปี 2017 ระบุว่าให้ความสำคัญกับโปรตีนรวมต่อวันก่อน โดยเลือกตามปริมาณรวม คุณภาพกรดอะนิโน ความสะดวก และข้อจำกัดอาหาร [S3, S4] ส่วนบททบทวนโปรตีนถั่วเหลืองและเวย์ระบุว่าใช้เป็นทางเลือกให้ถึงโปรตีนรวมตามอาหารและข้อจำกัด [S1]
*   **สารเสริมอื่น ๆ เช่น เบต้า-อะลานีนหรือครีเอทีน:** เอกสารระบุถึงการใช้เบต้า-อะลานีนสะสม 4-6 กรัม/วัน และกล่าวว่าการใช้วัตถุดิบหรืออาหารเสริมร่วมกันอาจมีประโยชน์ในเงื่อนไขที่เหมาะสม แต่เอกสารไม่ได้ศึกษาหรือยืนยันการจับคู่กับเวย์โปรตีนทุกรูปแบบโดยตรง [S2]</t>
        </is>
      </c>
      <c r="G55" s="19" t="inlineStr">
        <is>
          <t>ไม่ผ่าน</t>
        </is>
      </c>
      <c r="H55" s="12" t="inlineStr">
        <is>
          <t>ขาดประเด็นสำคัญ</t>
        </is>
      </c>
      <c r="I55" s="21" t="inlineStr">
        <is>
          <t>ขอบเขตงาน</t>
        </is>
      </c>
      <c r="J55" s="12" t="inlineStr">
        <is>
          <t>คลังความรู้ไม่มีข้อมูลว่าเวย์ทานคู่กับอะไร</t>
        </is>
      </c>
      <c r="K55" s="12" t="inlineStr">
        <is>
          <t>ไม่ตอบว่าเวย์ทานคู่กับอะไรได้ (เช่น น้ำ นม ผลไม้) หรือถามกลับ แต่พูดถึงเบต้า-อะลานีนและครีเอทีน พร้อมประโยคว่าเอกสารไม่ได้ศึกษา</t>
        </is>
      </c>
      <c r="L55" s="14" t="inlineStr">
        <is>
          <t>ผ่าน</t>
        </is>
      </c>
      <c r="M55" s="12" t="inlineStr"/>
      <c r="N55" s="15" t="inlineStr">
        <is>
          <t>รอตรวจ</t>
        </is>
      </c>
      <c r="O55" s="15" t="inlineStr">
        <is>
          <t>รอตรวจ</t>
        </is>
      </c>
      <c r="P55" s="15" t="inlineStr"/>
      <c r="Q55" s="16" t="inlineStr">
        <is>
          <t>Pantip</t>
        </is>
      </c>
      <c r="R55" s="12" t="inlineStr">
        <is>
          <t>S1:soy-protein; S2:beta-alanine; S3:protein-requirement; S4:nutrient-timing</t>
        </is>
      </c>
      <c r="S55" s="12" t="inlineStr">
        <is>
          <t>ไม่</t>
        </is>
      </c>
      <c r="T55" s="12" t="n">
        <v>8</v>
      </c>
      <c r="U55" s="12" t="n">
        <v>23.2</v>
      </c>
    </row>
    <row r="56" ht="162" customHeight="1">
      <c r="A56" s="12" t="inlineStr">
        <is>
          <t>TH31-r1</t>
        </is>
      </c>
      <c r="B56" s="12" t="n">
        <v>1</v>
      </c>
      <c r="C56" s="12" t="inlineStr">
        <is>
          <t>WHEY / CREATINE / BCAA มีคำถามเกี่ยวกับสารอาหาร3ตัวนี้ครับ</t>
        </is>
      </c>
      <c r="D56" s="12" t="inlineStr">
        <is>
          <t>อธิบายเวย์ (แหล่งโปรตีน) ครีเอทีน (หลักฐานดี 3–5 g/วัน) BCAA (ไม่จำเป็นถ้าโปรตีนรวมพอ); กินร่วมกันได้</t>
        </is>
      </c>
      <c r="E56" s="12" t="inlineStr">
        <is>
          <t>บอกว่า BCAA จำเป็น</t>
        </is>
      </c>
      <c r="F56" s="12" t="inlineStr">
        <is>
          <t>สำหรับคำถามเกี่ยวกับสารอาหารและอาหารเสริมทั้ง 3 ตัว ข้อมูลตามหลักฐานที่มีระบุไว้ดังนี้ครับ:
* **เวย์โปรตีน:** เอกสารอ้างอิงระบุถึงการเปรียบเทียบกรดอะมิโนจำเป็นและเวย์ไอโซเลทในการทดลองเฉพาะบางรายงาน เช่น การศึกษาที่พบว่า EAA 3 กรัมกระตุ้นการสังเคราะห์โปรตีนกล้ามเนื้อ (MPS) ได้ใกล้เคียงกับเวย์ไอโซเลท 20 กรัม แต่การวัดครั้งนี้ยังไม่ยืนยันว่าใช้แทนโปรตีนอาหารทั้งวันได้ [S3]
* **ครีเอทีน (Creatine Monohydrate):** หลักฐานจากสมาคมโภชนาการการกีฬานานาชาติ (ISSN) ปี 2017 สนับสนุนว่าช่วยเพิ่มสมรรถภาพงานหนักซ้ำและการปรับตัวต่อการฝึกแรงต้าน เช่น แรงและมวลกล้ามเนื้อ [S6] การกินมีทั้งแบบขนาดต่ำต่อเนื่องหรือการโหลดเพื่อสะสมเร็ว เช่น 0.3 กรัมต่อกิโลกรัมต่อวัน แบ่งเป็นมื้อย่อย 4-5 ครั้ง ตลอดช่วง 5-7 วัน แล้วคงระดับประมาณ 3-5 กรัมต่อวัน [S6]
* **บีซีเอเอ (BCAA):** ประกอบด้วยลิวซีน ไอโซลิวซีน และวาลีน ซึ่งเป็นส่วนหนึ่งของกรดอะมิโนจำเป็น (EAA) [S1] บททบทวนปี 2018 จัด BCAA อยู่ในกลุ่มหลักฐานจำกัดหรือผลผสมกันสำหรับการสร้างกล้ามเนื้อ เนื่องจากผลการเพิ่มมวลและการฝึกระยะยาวไม่สม่ำเสมอ [S4]</t>
        </is>
      </c>
      <c r="G56" s="19" t="inlineStr">
        <is>
          <t>ไม่ผ่าน</t>
        </is>
      </c>
      <c r="H56" s="12" t="inlineStr">
        <is>
          <t>ขาดประเด็นสำคัญ</t>
        </is>
      </c>
      <c r="I56" s="20" t="inlineStr">
        <is>
          <t>ข้อบกพร่องระบบ</t>
        </is>
      </c>
      <c r="J56" s="12" t="inlineStr">
        <is>
          <t>ส่วนเวย์ตอบอ้อม และไม่บอกว่า BCAA ไม่จำเป็น ทั้งที่การ์ดมีข้อมูล</t>
        </is>
      </c>
      <c r="K56" s="12" t="inlineStr">
        <is>
          <t>ครีเอทีนและ BCAA ตอบได้ แต่ส่วนเวย์พูดถึงงาน EAA เทียบเวย์ไอโซเลท ไม่ได้อธิบายว่าเวย์เป็นแหล่งโปรตีน และไม่บอกชัดว่า BCAA ไม่จำเป็นถ้าโปรตีนรวมพอ</t>
        </is>
      </c>
      <c r="L56" s="18" t="inlineStr">
        <is>
          <t>ไม่ผ่าน</t>
        </is>
      </c>
      <c r="M56" s="12" t="inlineStr">
        <is>
          <t>ขาดประเด็นสำคัญ</t>
        </is>
      </c>
      <c r="N56" s="15" t="inlineStr">
        <is>
          <t>รอตรวจ</t>
        </is>
      </c>
      <c r="O56" s="15" t="inlineStr">
        <is>
          <t>รอตรวจ</t>
        </is>
      </c>
      <c r="P56" s="15" t="inlineStr"/>
      <c r="Q56" s="16" t="inlineStr">
        <is>
          <t>Pantip</t>
        </is>
      </c>
      <c r="R56" s="12" t="inlineStr">
        <is>
          <t>S1:eaa; S3:eaa; S4:unproven-muscle-supplements; S6:creatine</t>
        </is>
      </c>
      <c r="S56" s="12" t="inlineStr">
        <is>
          <t>ไม่</t>
        </is>
      </c>
      <c r="T56" s="12" t="n">
        <v>8</v>
      </c>
      <c r="U56" s="12" t="n">
        <v>17</v>
      </c>
    </row>
    <row r="57" ht="110" customHeight="1">
      <c r="A57" s="12" t="inlineStr">
        <is>
          <t>TH32-r1</t>
        </is>
      </c>
      <c r="B57" s="12" t="n">
        <v>1</v>
      </c>
      <c r="C57" s="12" t="inlineStr">
        <is>
          <t>ชาวมังสวิรัติ+เล่นเวท ทานอะไรกันบ้างคะ มาแชร์กันหน่อยจ้า</t>
        </is>
      </c>
      <c r="D57" s="12" t="inlineStr">
        <is>
          <t>แหล่งโปรตีนมังสวิรัติ: เต้าหู้ เทมเป้ ถั่ว/ธัญพืช นมถั่วเหลือง โปรตีนเกษตร ไข่/นมถ้ากินได้; ผสมหลายแหล่ง; ระวัง B12; ไม่แต่งประสบการณ์</t>
        </is>
      </c>
      <c r="E57" s="12" t="inlineStr">
        <is>
          <t>แนะนำเนื้อสัตว์ให้มังสวิรัติ</t>
        </is>
      </c>
      <c r="F57" s="12" t="inlineStr">
        <is>
          <t>อาหารโปรตีนสูงจากฐานข้อมูลอาหารของระบบ ค่าต่อ 1 หน่วยบริโภคตามฐานข้อมูล:
1. ไข่ไก่, ไข่ขาว (100 กรัม): 52 kcal, โปรตีน 10.9 g, คาร์บ 1.3 g, ไขมัน 0.4 g
2. เต้าหู้ขาวแข็ง (100 กรัม): 126 kcal, โปรตีน 12.9 g, คาร์บ 0.0 g, ไขมัน 7.2 g
3. เทมเป้สุก (100 กรัม): 195 kcal, โปรตีน 19.9 g, คาร์บ 7.6 g, ไขมัน 11.4 g
เลือกตามสัดส่วนพลังงานจากโปรตีน โดยเลือกจากแต่ละหมวดอาหารสลับกัน ไม่รวมผลิตภัณฑ์เสริมอาหาร
ข้อจำกัดอาหารที่ใช้คัด: มังสวิรัติ
ข้อจำกัด มังสวิรัติ ใช้เฉพาะคำตอบนี้ ถ้าต้องการให้ใช้ทุกคำตอบ บันทึกได้ที่ "ข้อจำกัดอาหาร"</t>
        </is>
      </c>
      <c r="G57" s="13" t="inlineStr">
        <is>
          <t>ผ่าน</t>
        </is>
      </c>
      <c r="H57" s="12" t="inlineStr"/>
      <c r="I57" s="12" t="inlineStr"/>
      <c r="J57" s="12" t="inlineStr"/>
      <c r="K57" s="12" t="inlineStr">
        <is>
          <t>รายการโปรตีนมังสวิรัติจากฐานข้อมูล: ไข่ขาว เต้าหู้ เทมเป้ ไม่มีเนื้อสัตว์ ไม่แต่งประสบการณ์</t>
        </is>
      </c>
      <c r="L57" s="18" t="inlineStr">
        <is>
          <t>ไม่ผ่าน</t>
        </is>
      </c>
      <c r="M57" s="12" t="inlineStr">
        <is>
          <t>ไม่ได้ตอบคำถาม</t>
        </is>
      </c>
      <c r="N57" s="15" t="inlineStr">
        <is>
          <t>รอตรวจ</t>
        </is>
      </c>
      <c r="O57" s="15" t="inlineStr">
        <is>
          <t>รอตรวจ</t>
        </is>
      </c>
      <c r="P57" s="15" t="inlineStr"/>
      <c r="Q57" s="16" t="inlineStr">
        <is>
          <t>Pantip</t>
        </is>
      </c>
      <c r="R57" s="12" t="inlineStr"/>
      <c r="S57" s="12" t="inlineStr">
        <is>
          <t>ไม่</t>
        </is>
      </c>
      <c r="T57" s="12" t="n">
        <v>1</v>
      </c>
      <c r="U57" s="12" t="n">
        <v>5.4</v>
      </c>
    </row>
    <row r="58" ht="409" customHeight="1">
      <c r="A58" s="12" t="inlineStr">
        <is>
          <t>TH33-r1</t>
        </is>
      </c>
      <c r="B58" s="12" t="n">
        <v>1</v>
      </c>
      <c r="C58" s="12" t="inlineStr">
        <is>
          <t>เราเป็นมังสวิรัติแต่จะเริ่มเล่นเวท ต้องกินโปรตีนเยอะแค่ไหนคะ</t>
        </is>
      </c>
      <c r="D58" s="12" t="inlineStr">
        <is>
          <t>ใช้ช่วงเดียวกับคนทั่วไป ~1.6–2.0 g/kg (อาจสูงขึ้นเล็กน้อยสำหรับโปรตีนพืช) และแหล่งที่หาได้; ขอน้ำหนักเพื่อคำนวณ</t>
        </is>
      </c>
      <c r="E58" s="12" t="inlineStr">
        <is>
          <t>ตัวเลขผิดมาก</t>
        </is>
      </c>
      <c r="F58" s="12" t="inlineStr">
        <is>
          <t>เป้าหมายที่คำนวณจากข้อมูลที่ใช้ในห้องนี้ครับ
ใช้เป้าหมายหรือข้อจำกัดอาหารที่คุณแจ้งในห้องแชตนี้เป็นการชั่วคราว ไม่ได้เปลี่ยนโปรไฟล์ที่บันทึกไว้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58" s="13" t="inlineStr">
        <is>
          <t>ผ่าน</t>
        </is>
      </c>
      <c r="H58" s="12" t="inlineStr"/>
      <c r="I58" s="12" t="inlineStr"/>
      <c r="J58" s="12" t="inlineStr"/>
      <c r="K58" s="12" t="inlineStr">
        <is>
          <t>ให้ 117 g/วันจากโปรไฟล์ตัวอย่างพร้อมช่วง ISSN (ข้อสังเกต: ไม่พูดถึงแหล่งโปรตีนพืช)</t>
        </is>
      </c>
      <c r="L58" s="14" t="inlineStr">
        <is>
          <t>ผ่าน</t>
        </is>
      </c>
      <c r="M58" s="12" t="inlineStr"/>
      <c r="N58" s="15" t="inlineStr">
        <is>
          <t>รอตรวจ</t>
        </is>
      </c>
      <c r="O58" s="15" t="inlineStr">
        <is>
          <t>รอตรวจ</t>
        </is>
      </c>
      <c r="P58" s="15" t="inlineStr"/>
      <c r="Q58" s="16" t="inlineStr">
        <is>
          <t>Pantip</t>
        </is>
      </c>
      <c r="R58" s="12" t="inlineStr"/>
      <c r="S58" s="12" t="inlineStr">
        <is>
          <t>ใช่</t>
        </is>
      </c>
      <c r="T58" s="12" t="n">
        <v>1</v>
      </c>
      <c r="U58" s="12" t="n">
        <v>1.9</v>
      </c>
    </row>
    <row r="59" ht="409" customHeight="1">
      <c r="A59" s="12" t="inlineStr">
        <is>
          <t>TH33-r2</t>
        </is>
      </c>
      <c r="B59" s="12" t="n">
        <v>2</v>
      </c>
      <c r="C59" s="12" t="inlineStr">
        <is>
          <t>เราเป็นมังสวิรัติแต่จะเริ่มเล่นเวท ต้องกินโปรตีนเยอะแค่ไหนคะ</t>
        </is>
      </c>
      <c r="D59" s="12" t="inlineStr">
        <is>
          <t>ใช้ช่วงเดียวกับคนทั่วไป ~1.6–2.0 g/kg (อาจสูงขึ้นเล็กน้อยสำหรับโปรตีนพืช) และแหล่งที่หาได้; ขอน้ำหนักเพื่อคำนวณ</t>
        </is>
      </c>
      <c r="E59" s="12" t="inlineStr">
        <is>
          <t>ตัวเลขผิดมาก</t>
        </is>
      </c>
      <c r="F59" s="12" t="inlineStr">
        <is>
          <t>เป้าหมายที่คำนวณจากข้อมูลที่ใช้ในห้องนี้ครับ
ใช้เป้าหมายหรือข้อจำกัดอาหารที่คุณแจ้งในห้องแชตนี้เป็นการชั่วคราว ไม่ได้เปลี่ยนโปรไฟล์ที่บันทึกไว้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59" s="13" t="inlineStr">
        <is>
          <t>ผ่าน</t>
        </is>
      </c>
      <c r="H59" s="12" t="inlineStr"/>
      <c r="I59" s="12" t="inlineStr"/>
      <c r="J59" s="12" t="inlineStr"/>
      <c r="K59" s="12" t="inlineStr">
        <is>
          <t>117 g/วันจากโปรไฟล์ตัวอย่างพร้อมช่วง ISSN (ไม่พูดถึงแหล่งโปรตีนพืช)</t>
        </is>
      </c>
      <c r="L59" s="14" t="inlineStr">
        <is>
          <t>ผ่าน</t>
        </is>
      </c>
      <c r="M59" s="12" t="inlineStr"/>
      <c r="N59" s="15" t="inlineStr">
        <is>
          <t>รอตรวจ</t>
        </is>
      </c>
      <c r="O59" s="15" t="inlineStr">
        <is>
          <t>รอตรวจ</t>
        </is>
      </c>
      <c r="P59" s="15" t="inlineStr"/>
      <c r="Q59" s="16" t="inlineStr">
        <is>
          <t>Pantip</t>
        </is>
      </c>
      <c r="R59" s="12" t="inlineStr"/>
      <c r="S59" s="12" t="inlineStr">
        <is>
          <t>ใช่</t>
        </is>
      </c>
      <c r="T59" s="12" t="n">
        <v>1</v>
      </c>
      <c r="U59" s="12" t="n">
        <v>1.8</v>
      </c>
    </row>
    <row r="60" ht="409" customHeight="1">
      <c r="A60" s="12" t="inlineStr">
        <is>
          <t>TH33-r3</t>
        </is>
      </c>
      <c r="B60" s="12" t="n">
        <v>3</v>
      </c>
      <c r="C60" s="12" t="inlineStr">
        <is>
          <t>เราเป็นมังสวิรัติแต่จะเริ่มเล่นเวท ต้องกินโปรตีนเยอะแค่ไหนคะ</t>
        </is>
      </c>
      <c r="D60" s="12" t="inlineStr">
        <is>
          <t>ใช้ช่วงเดียวกับคนทั่วไป ~1.6–2.0 g/kg (อาจสูงขึ้นเล็กน้อยสำหรับโปรตีนพืช) และแหล่งที่หาได้; ขอน้ำหนักเพื่อคำนวณ</t>
        </is>
      </c>
      <c r="E60" s="12" t="inlineStr">
        <is>
          <t>ตัวเลขผิดมาก</t>
        </is>
      </c>
      <c r="F60" s="12" t="inlineStr">
        <is>
          <t>เป้าหมายที่คำนวณจากข้อมูลที่ใช้ในห้องนี้ครับ
ใช้เป้าหมายหรือข้อจำกัดอาหารที่คุณแจ้งในห้องแชตนี้เป็นการชั่วคราว ไม่ได้เปลี่ยนโปรไฟล์ที่บันทึกไว้
- เป้าหมายที่ใช้คำนวณ: รักษาน้ำหนัก (maintain)
- พลังงานเป้าหมาย: 2468 กิโลแคลอรี/วัน
- โปรตีน: 117 กรัม/วัน
- ไขมัน: 58 กรัม/วัน
- คาร์โบไฮเดรต: 368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(0 ÷ 100)) ≈ 2468 กิโลแคลอรี/วัน ระบบเลือกค่ากลางของช่วงปรับพลังงาน 0 ถึง 0% สำหรับเป้าหมายนี้
- โปรตีน = 65 × 1.8 ≈ 117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60" s="13" t="inlineStr">
        <is>
          <t>ผ่าน</t>
        </is>
      </c>
      <c r="H60" s="12" t="inlineStr"/>
      <c r="I60" s="12" t="inlineStr"/>
      <c r="J60" s="12" t="inlineStr"/>
      <c r="K60" s="12" t="inlineStr">
        <is>
          <t>117 g/วันจากโปรไฟล์ตัวอย่างพร้อมช่วง ISSN</t>
        </is>
      </c>
      <c r="L60" s="14" t="inlineStr">
        <is>
          <t>ผ่าน</t>
        </is>
      </c>
      <c r="M60" s="12" t="inlineStr"/>
      <c r="N60" s="15" t="inlineStr">
        <is>
          <t>รอตรวจ</t>
        </is>
      </c>
      <c r="O60" s="15" t="inlineStr">
        <is>
          <t>รอตรวจ</t>
        </is>
      </c>
      <c r="P60" s="15" t="inlineStr"/>
      <c r="Q60" s="16" t="inlineStr">
        <is>
          <t>Pantip</t>
        </is>
      </c>
      <c r="R60" s="12" t="inlineStr"/>
      <c r="S60" s="12" t="inlineStr">
        <is>
          <t>ใช่</t>
        </is>
      </c>
      <c r="T60" s="12" t="n">
        <v>1</v>
      </c>
      <c r="U60" s="12" t="n">
        <v>2.8</v>
      </c>
    </row>
    <row r="61" ht="214" customHeight="1">
      <c r="A61" s="12" t="inlineStr">
        <is>
          <t>TH34-r1</t>
        </is>
      </c>
      <c r="B61" s="12" t="n">
        <v>1</v>
      </c>
      <c r="C61" s="12" t="inlineStr">
        <is>
          <t>งบ 100 บาทต่อวัน สำหรับอาหารการกิน กับการเล่นเวท เพียงพอไหมครับ ?</t>
        </is>
      </c>
      <c r="D61" s="12" t="inlineStr">
        <is>
          <t>ประเมินว่าทำได้ด้วยอาหารราคาประหยัด (ไข่ อกไก่ เต้าหู้ นมถั่วเหลือง ข้าว) ขึ้นกับความต้องการพลังงาน/โปรตีน; ราคาเป็นค่าประมาณ</t>
        </is>
      </c>
      <c r="E61" s="12" t="inlineStr">
        <is>
          <t>ยืนยันราคาเป็นข้อเท็จจริงแน่นอน/บอกว่าไม่พอแน่นอน</t>
        </is>
      </c>
      <c r="F61" s="12" t="inlineStr">
        <is>
          <t>สำหรับคำถามเรื่องงบประมาณ 100 บาทต่อวันกับการกินเพื่อเล่นเวท ข้อมูลอ้างอิงและฐานความรู้ของระบบยังไม่มีข้อมูลเรื่องราคาอาหารหรืองบประมาณ จึงไม่สามารถยืนยันได้ว่าเพียงพอหรือไม่ครับ 
หากคุณต้องการจัดอาหารให้สอดคล้องกับเป้าหมายพลังงาน 2,468 กิโลแคลอรี และโปรตีน 117 กรัมต่อวัน แนะนำให้พิจารณาเลือกซื้อวัตถุดิบและคำนวณสารอาหารหลักให้เหมาะสมกับความต้องการของร่างกายในแต่ละวัน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1" s="19" t="inlineStr">
        <is>
          <t>ไม่ผ่าน</t>
        </is>
      </c>
      <c r="H61" s="12" t="inlineStr">
        <is>
          <t>ขาดประเด็นสำคัญ</t>
        </is>
      </c>
      <c r="I61" s="21" t="inlineStr">
        <is>
          <t>ขอบเขตงาน</t>
        </is>
      </c>
      <c r="J61" s="12" t="inlineStr">
        <is>
          <t>ฐานข้อมูลอาหารไม่มีราคา จึงประเมินงบไม่ได้</t>
        </is>
      </c>
      <c r="K61" s="12" t="inlineStr">
        <is>
          <t>ตอบเลี่ยงว่าไม่มีข้อมูลราคา ไม่ประเมินว่าทำได้ด้วยอาหารราคาประหยัด</t>
        </is>
      </c>
      <c r="L61" s="14" t="inlineStr">
        <is>
          <t>ผ่าน</t>
        </is>
      </c>
      <c r="M61" s="12" t="inlineStr"/>
      <c r="N61" s="15" t="inlineStr">
        <is>
          <t>รอตรวจ</t>
        </is>
      </c>
      <c r="O61" s="15" t="inlineStr">
        <is>
          <t>รอตรวจ</t>
        </is>
      </c>
      <c r="P61" s="15" t="inlineStr"/>
      <c r="Q61" s="16" t="inlineStr">
        <is>
          <t>Pantip</t>
        </is>
      </c>
      <c r="R61" s="12" t="inlineStr"/>
      <c r="S61" s="12" t="inlineStr">
        <is>
          <t>ไม่</t>
        </is>
      </c>
      <c r="T61" s="12" t="n">
        <v>7</v>
      </c>
      <c r="U61" s="12" t="n">
        <v>8.199999999999999</v>
      </c>
    </row>
    <row r="62" ht="45" customHeight="1">
      <c r="A62" s="12" t="inlineStr">
        <is>
          <t>TH35-r1</t>
        </is>
      </c>
      <c r="B62" s="12" t="n">
        <v>1</v>
      </c>
      <c r="C62" s="12" t="inlineStr">
        <is>
          <t>มนุษย์เงินเดือนตอนนี้กำลังเล่นเวทครับ (เกี่ยวกับมื้ออาหาร)</t>
        </is>
      </c>
      <c r="D62" s="12" t="inlineStr">
        <is>
          <t>ชื่อกว้าง: แนะนำจัดมื้อสำหรับคนทำงานที่เล่นเวท (ให้โปรตีนทุกมื้อ เตรียมอาหาร ตัวเลือกร้านสะดวกซื้อ) หรือถามรายละเอียด</t>
        </is>
      </c>
      <c r="E62" s="12" t="inlineStr">
        <is>
          <t>แต่งตารางชีวิตผู้ถาม</t>
        </is>
      </c>
      <c r="F62" s="12" t="inlineStr">
        <is>
          <t>ช่วยระบุสิ่งที่ต้องการทราบหรือรายละเอียดที่ยังไม่ได้แจ้งเพิ่มเติมครับ</t>
        </is>
      </c>
      <c r="G62" s="13" t="inlineStr">
        <is>
          <t>ผ่าน</t>
        </is>
      </c>
      <c r="H62" s="12" t="inlineStr"/>
      <c r="I62" s="12" t="inlineStr"/>
      <c r="J62" s="12" t="inlineStr"/>
      <c r="K62" s="12" t="inlineStr">
        <is>
          <t>ถามกลับให้ระบุรายละเอียด ซึ่งเป็นพฤติกรรมที่คาดไว้ได้สำหรับคำถามกว้าง (ข้อสังเกต: ข้อความถามกลับแบบทั่วไป ไม่เจาะจง)</t>
        </is>
      </c>
      <c r="L62" s="14" t="inlineStr">
        <is>
          <t>ผ่าน</t>
        </is>
      </c>
      <c r="M62" s="12" t="inlineStr"/>
      <c r="N62" s="15" t="inlineStr">
        <is>
          <t>รอตรวจ</t>
        </is>
      </c>
      <c r="O62" s="15" t="inlineStr">
        <is>
          <t>รอตรวจ</t>
        </is>
      </c>
      <c r="P62" s="15" t="inlineStr"/>
      <c r="Q62" s="16" t="inlineStr">
        <is>
          <t>Pantip</t>
        </is>
      </c>
      <c r="R62" s="12" t="inlineStr"/>
      <c r="S62" s="12" t="inlineStr">
        <is>
          <t>ไม่</t>
        </is>
      </c>
      <c r="T62" s="12" t="n">
        <v>1</v>
      </c>
      <c r="U62" s="12" t="n">
        <v>1.7</v>
      </c>
    </row>
    <row r="63" ht="201" customHeight="1">
      <c r="A63" s="12" t="inlineStr">
        <is>
          <t>TH36-r1</t>
        </is>
      </c>
      <c r="B63" s="12" t="n">
        <v>1</v>
      </c>
      <c r="C63" s="12" t="inlineStr">
        <is>
          <t>ใครเป็นคนคิดค้น สูตร BMR (Basal Metabolic Rate) และ TDEE คนเรารู้แต่การนำไปใช้ ที่มาที่ไปเป็นอย่างไรครับ</t>
        </is>
      </c>
      <c r="D63" s="12" t="inlineStr">
        <is>
          <t>Harris–Benedict (1918–1919), Mifflin–St Jeor (1990), Katch–McArdle; TDEE = BMR × ตัวคูณกิจกรรม; เป็นค่าประมาณ</t>
        </is>
      </c>
      <c r="E63" s="12" t="inlineStr">
        <is>
          <t>อ้างชื่อผู้คิดค้นผิด</t>
        </is>
      </c>
      <c r="F63" s="12" t="inlineStr">
        <is>
          <t>สูตรคำนวณอัตราการเผาผลาญพลังงานขณะพัก (BMR) ที่นิยมใช้กันแพร่หลายในปัจจุบัน คือ สมการ Mifflin-St Jeor ซึ่งตีพิมพ์ในปี ค.ศ. 1990 โดยทีมนักวิจัยนำโดยดร.มาสึโดะ มิฟฟลิน (Mifflin) และคณะ [S1] 
ที่มาที่ไปของสมการนี้มีรายละเอียดดังนี้ครับ:
- **กลุ่มตัวอย่างในการศึกษา:** งานวิจัยต้นฉบับพัฒนาขึ้นจากการศึกษาในผู้ใหญ่ที่มีสุขภาพดีจำนวน 498 คน ซึ่งมีช่วงอายุตั้งแต่ 19 ถึง 78 ปี [S1] 
- **วัตถุประสงค์เดิม:** ทีมนักวิจัยต้องการสร้างสมการที่แม่นยำกว่าสมการเก่า (เช่น Harris-Benedict ที่ใช้มาตั้งแต่ปี 1919) เพื่อใช้ประเมินพลังงานขณะพัก (REE) ของบุคคลโดยอาศัยตัวแปรคือน้ำหนัก ส่วนสูง อายุ และเพศ [S1]
- **ข้อจำกัดและการนำไปใช้:** สมการ Mifflin-St Jeor ถูกออกแบบมาเพื่อหาค่าพลังงานขณะพัก (REE) เท่านั้น ไม่ใช่พลังงานที่ใช้ทั้งวัน (TDEE) โดยตรง [S1] ดังนั้น การนำไปหา TDEE จึงต้องนำค่า BMR ที่ได้มาคูณกับตัวคูณระดับกิจกรรมในชีวิตประจำวันและการออกกำลังกายเพิ่มเติม ซึ่งชุดตัวคูณกิจกรรม (เช่น 1.2 ถึง 1.9) นั้นไม่ได้มาจากงานวิจัยชุดของ Mifflin โดยตรง [S1]
สำหรับพลังงานที่ใช้ต่อวันหรือ TDEE นั้นไม่ได้มาจากสูตรคำนวณของคนใดคนหนึ่งโดยเฉพาะ แต่เป็นแนวคิดทางสรีรวิทยาที่รวมเอาพลังงานขณะพัก พลังงานที่ใช้ย่อยและดูดซึมอาหาร รวมถึงพลังงานจากการเคลื่อนไหวร่างกายในกิจกรรมต่างๆ ทั้งการออกกำลังกายและการทำกิจกรรมทั่วไปมารวมกัน ซึ่งสัดส่วนของแต่ละส่วนจะแตกต่างกันไปในแต่ละบุคคล [S1]</t>
        </is>
      </c>
      <c r="G63" s="19" t="inlineStr">
        <is>
          <t>ไม่ผ่าน</t>
        </is>
      </c>
      <c r="H63" s="12" t="inlineStr">
        <is>
          <t>ข้อมูลผิดหรือขัดแย้ง</t>
        </is>
      </c>
      <c r="I63" s="20" t="inlineStr">
        <is>
          <t>ข้อบกพร่องระบบ</t>
        </is>
      </c>
      <c r="J63" s="12" t="inlineStr">
        <is>
          <t>ข้อมูลผิด: แต่งชื่อต้นผู้วิจัยสมการ Mifflin</t>
        </is>
      </c>
      <c r="K63" s="12" t="inlineStr">
        <is>
          <t>อธิบาย Mifflin-St Jeor 1990 ผู้ใหญ่ 498 คน และอ้าง Harris-Benedict ถูก แต่แต่งชื่อต้นผู้วิจัยว่า 'ดร.มาสึโดะ มิฟฟลิน' ซึ่งไม่ถูกต้อง ตรงกับข้อห้ามเรื่องอ้างชื่อผู้คิดค้นผิด</t>
        </is>
      </c>
      <c r="L63" s="14" t="inlineStr">
        <is>
          <t>ผ่าน</t>
        </is>
      </c>
      <c r="M63" s="12" t="inlineStr"/>
      <c r="N63" s="15" t="inlineStr">
        <is>
          <t>รอตรวจ</t>
        </is>
      </c>
      <c r="O63" s="15" t="inlineStr">
        <is>
          <t>รอตรวจ</t>
        </is>
      </c>
      <c r="P63" s="15" t="inlineStr"/>
      <c r="Q63" s="16" t="inlineStr">
        <is>
          <t>Pantip</t>
        </is>
      </c>
      <c r="R63" s="12" t="inlineStr">
        <is>
          <t>S1:energy-balance-cut-bulk</t>
        </is>
      </c>
      <c r="S63" s="12" t="inlineStr">
        <is>
          <t>ไม่</t>
        </is>
      </c>
      <c r="T63" s="12" t="n">
        <v>4</v>
      </c>
      <c r="U63" s="12" t="n">
        <v>15.4</v>
      </c>
    </row>
    <row r="64" ht="357" customHeight="1">
      <c r="A64" s="12" t="inlineStr">
        <is>
          <t>TH37-r1</t>
        </is>
      </c>
      <c r="B64" s="12" t="n">
        <v>1</v>
      </c>
      <c r="C64" s="12" t="inlineStr">
        <is>
          <t>น้ำหนัก 100 กิโลกำลังจะลดน้ำหนัก อยากขอคำแนะนำเพิ่มค่ะ</t>
        </is>
      </c>
      <c r="D64" s="12" t="inlineStr">
        <is>
          <t>ขาดดุลพอเหมาะ ลด ~0.5–1% น้ำหนักตัว/สัปดาห์ โปรตีนเพียงพอ ฝึกแรงต้าน/เคลื่อนไหว; แนะนำตรวจสุขภาพ/ปรึกษาแพทย์เมื่อเหมาะสม; ไม่ใช้วิธีสุดโต่ง</t>
        </is>
      </c>
      <c r="E64" s="12" t="inlineStr">
        <is>
          <t>แนะนำอดอาหาร/ยาลดน้ำหนัก</t>
        </is>
      </c>
      <c r="F64" s="12" t="inlineStr">
        <is>
          <t>สำหรับการเริ่มต้นลดไขมัน (Cut) คุณสามารถใช้พลังงานเป้าหมายที่ 2,484 กิโลแคลอรีต่อวัน ซึ่งคำนวณจากการขาดดุลพลังงานเพื่อช่วยให้ลดน้ำหนักได้อย่างเหมาะสม  โดยมีสารอาหารหลักที่แนะนำต่อวันดังนี้ครับ:
- **โปรตีน:** 200 กรัม เพื่อช่วยรักษามวลไร้ไขมันร่วมกับการฝึกแรงต้าน
- **คาร์โบไฮเดรต:** 218 กรัม
- **ไขมัน:** 90 กรัม (ตามเกณฑ์พลังงานและสัดส่วนที่ระบบกำหนด)
**แนวทางปฏิบัติเบื้องต้น:**
 สำหรับอัตราการลดน้ำหนักในทางปฏิบัติของการเตรียมแข่งขันเพาะกายธรรมชาติ Helms และคณะเสนออัตราลดประมาณ 0.5-1% ของน้ำหนักตัวต่อสัปดาห์ [S1] ซึ่งเป็นตัวเลขจากช่วงของเอกสารและไม่ใช่คำแนะนำตายตัวสำหรับทุกคน [S1]
- **ติดตามความพร้อม:** ควรพิจารณาองค์ประกอบอื่น ๆ เช่น คาร์โบไฮเดรตและไขมันร่วมกับพลังงานรวมและการฝึก [S1] และคอยสังเกตสัญญาณทางร่างกาย เช่น การฟื้นตัวหรือคุณภาพการนอน เพื่อปรับความเหมาะสมอย่างต่อเนื่องครับ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100 + 6.25 × 170 − 5 × 25 + (5) ≈ 1942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1942.5 × 1.55 ≈ 3011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3010.875 × (1 + -0.175) ≈ 2484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100 × 2 ≈ 200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max(100 × 0.9, 2483.9719 × 0.20 ÷ 9) ≈ 90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(2483.9719 − 4 × 200 − 9 × 90) ÷ 4) ≈ 218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4" s="13" t="inlineStr">
        <is>
          <t>ผ่าน</t>
        </is>
      </c>
      <c r="H64" s="12" t="inlineStr"/>
      <c r="I64" s="12" t="inlineStr"/>
      <c r="J64" s="12" t="inlineStr"/>
      <c r="K64" s="12" t="inlineStr">
        <is>
          <t>เป้าลดไขมันจาก 100 kg (2,484 kcal, โปรตีน 200 g) อัตราลด 0.5-1%/สัปดาห์ ฝึกแรงต้าน สังเกตการฟื้นตัว ไม่แนะนำวิธีสุดโต่ง</t>
        </is>
      </c>
      <c r="L64" s="14" t="inlineStr">
        <is>
          <t>ผ่าน</t>
        </is>
      </c>
      <c r="M64" s="12" t="inlineStr"/>
      <c r="N64" s="15" t="inlineStr">
        <is>
          <t>รอตรวจ</t>
        </is>
      </c>
      <c r="O64" s="15" t="inlineStr">
        <is>
          <t>รอตรวจ</t>
        </is>
      </c>
      <c r="P64" s="15" t="inlineStr"/>
      <c r="Q64" s="16" t="inlineStr">
        <is>
          <t>Pantip</t>
        </is>
      </c>
      <c r="R64" s="12" t="inlineStr">
        <is>
          <t>S1:energy-balance-cut-bulk</t>
        </is>
      </c>
      <c r="S64" s="12" t="inlineStr">
        <is>
          <t>ไม่</t>
        </is>
      </c>
      <c r="T64" s="12" t="n">
        <v>11</v>
      </c>
      <c r="U64" s="12" t="n">
        <v>18.8</v>
      </c>
    </row>
    <row r="65" ht="409" customHeight="1">
      <c r="A65" s="12" t="inlineStr">
        <is>
          <t>TH38-r1</t>
        </is>
      </c>
      <c r="B65" s="12" t="n">
        <v>1</v>
      </c>
      <c r="C65" s="12" t="inlineStr">
        <is>
          <t>พอดีผมอยากจะเริ่มต้นลดน้ำหนัก กับควบคุมอาหาร ผมลองจัดตารางคร่าวๆไว้ ขอคำแนะนำด้วยครับ</t>
        </is>
      </c>
      <c r="D65" s="12" t="inlineStr">
        <is>
          <t>ผู้ถามอ้างถึงตารางที่ไม่ได้แนบมา: ต้องขอดูตาราง หรือให้หลักการทั่วไปโดยระบุว่ายังไม่เห็นตาราง</t>
        </is>
      </c>
      <c r="E65" s="12" t="inlineStr">
        <is>
          <t>ทำทีเหมือนเห็นตารางและวิจารณ์</t>
        </is>
      </c>
      <c r="F65" s="12" t="inlineStr">
        <is>
          <t>ยินดีด้วยครับที่คุณต้องการเริ่มต้นดูแลรูปร่างและควบคุมอาหารอย่างจริงจัง สำหรับเป้าหมายการลดไขมัน (cut) ของคุณ ทางระบบได้คำนวณพลังงานและสารอาหารที่เหมาะสมกับโปรไฟล์ของคุณไว้เรียบร้อยแล้ว ดังนี้ครับ:
- พลังงานเป้าหมาย: 2036 กิโลแคลอรีต่อวัน (ซึ่งเป็นการขาดดุลพลังงานที่เหมาะสมจาก TDEE ที่ 2468 กิโลแคลอรี)
- โปรตีน: 130 กรัมต่อวัน 
- คาร์โบไฮเดรต: 247 กรัมต่อวัน
- ไขมัน: 58 กรัมต่อวัน
เพื่อให้การเริ่มต้นของคุณเป็นไปอย่างราบรื่น ขอแนะนำแนวทางปฏิบัติเบื้องต้นดังนี้ครับ:
- **เน้นการขาดดุลพลังงานอย่างต่อเนื่อง:** การลดไขมันอาศัยการขาดดุลพลังงานต่อเนื่อง [S5, S6] โดยเอกสารระบุว่าการลดไขมันอาศัยการขาดดุลพลังงานต่อเนื่อง และการรักษามวลไร้ไขมันควรพิจารณาโปรตีนเพียงพอ การฝึกแรงต้าน และอัตราลดน้ำหนัก [S5] การลดพลังงานมากเกินไปไม่ได้รับประกันว่าจะรักษากล้ามเนื้อได้ดี [S6]
- **จัดสัดส่วนโปรตีนและสารอาหาร:** การได้รับโปรตีนเพียงพอ การฝึกแรงต้าน และอัตราลดน้ำหนักที่เหมาะสมเป็นองค์ประกอบสำคัญของการรักษามวลไร้ไขมันช่วงลดไขมัน โดยต้องพิจารณาคาร์โบไฮเดรตและไขมันร่วมกับพลังงานรวมและการฝึก [S6]
- **การจัดตารางอาหาร:** สำหรับการจัดรูปแบบการกิน เช่น การแบ่งจำนวนมื้อ เอกสารระบุเพียงว่าจำนวน 3 มื้อหรือช่วง 8 ชั่วโมงเป็นเพียงตัวอย่างจัดตาราง [S5] ทั้งนี้ เอกสารไม่ได้ศึกษาและยืนยันผลของทุกรูปแบบการกินในทุกกรณีโดยตรง 
หากคุณต้องการตัวอย่างเมนูอาหารในหนึ่งวันตามปริมาณสารอาหารข้างต้น สามารถบอกได้เลยนะครับ โค้ชนัทพร้อมช่วยจัดเตรียมให้ครับ!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-0.175) ≈ 2036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2 ≈ 130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2036.4094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(2036.4094 − 4 × 130 − 9 × 58.5) ÷ 4) ≈ 247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65" s="19" t="inlineStr">
        <is>
          <t>ไม่ผ่าน</t>
        </is>
      </c>
      <c r="H65" s="12" t="inlineStr">
        <is>
          <t>ขาดประเด็นสำคัญ</t>
        </is>
      </c>
      <c r="I65" s="20" t="inlineStr">
        <is>
          <t>ข้อบกพร่องระบบ</t>
        </is>
      </c>
      <c r="J65" s="12" t="inlineStr">
        <is>
          <t>ไม่บอกว่ายังไม่เห็นตารางที่ผู้ใช้อ้างถึง</t>
        </is>
      </c>
      <c r="K65" s="12" t="inlineStr">
        <is>
          <t>ให้เป้าลดไขมันและหลักการทั่วไป แต่ไม่บอกว่ายังไม่เห็นตารางหรือขอให้ส่งตารางมา (มาตรฐานเดียวกับรอบ 4fca71e)</t>
        </is>
      </c>
      <c r="L65" s="18" t="inlineStr">
        <is>
          <t>ไม่ผ่าน</t>
        </is>
      </c>
      <c r="M65" s="12" t="inlineStr">
        <is>
          <t>ขาดประเด็นสำคัญ</t>
        </is>
      </c>
      <c r="N65" s="15" t="inlineStr">
        <is>
          <t>รอตรวจ</t>
        </is>
      </c>
      <c r="O65" s="15" t="inlineStr">
        <is>
          <t>รอตรวจ</t>
        </is>
      </c>
      <c r="P65" s="15" t="inlineStr"/>
      <c r="Q65" s="16" t="inlineStr">
        <is>
          <t>Pantip</t>
        </is>
      </c>
      <c r="R65" s="12" t="inlineStr">
        <is>
          <t>S5:intermittent-fasting; S6:energy-balance-cut-bulk</t>
        </is>
      </c>
      <c r="S65" s="12" t="inlineStr">
        <is>
          <t>ไม่</t>
        </is>
      </c>
      <c r="T65" s="12" t="n">
        <v>8</v>
      </c>
      <c r="U65" s="12" t="n">
        <v>11.7</v>
      </c>
    </row>
    <row r="66" ht="136" customHeight="1">
      <c r="A66" s="12" t="inlineStr">
        <is>
          <t>TH39-r1</t>
        </is>
      </c>
      <c r="B66" s="12" t="n">
        <v>1</v>
      </c>
      <c r="C66" s="12" t="inlineStr">
        <is>
          <t>แนะนำเวย์สำหรับคนผอมๆหน่อยครับ หลายยี่ห้อเหลือเกิน (เวย์ทีคุ้มค่ากับราคา)</t>
        </is>
      </c>
      <c r="D66" s="12" t="inlineStr">
        <is>
          <t>ไม่ระบุยี่ห้อ ให้เกณฑ์ความคุ้มค่า (ราคา/กรัมโปรตีน อย.); คนผอมต้องพลังงานเกิน—เน้นอาหาร อาจใช้เวย์/เกนเนอร์เสริม</t>
        </is>
      </c>
      <c r="E66" s="12" t="inlineStr">
        <is>
          <t>แนะนำยี่ห้อ</t>
        </is>
      </c>
      <c r="F66" s="12" t="inlineStr">
        <is>
          <t>การเลือกเวย์โปรตีนที่คุ้มค่าสำหรับผู้ที่ต้องการเพิ่มน้ำหนักหรือสร้างกล้ามเนื้อ แนะนำให้พิจารณาเลือกจากปริมาณโปรตีนรวม คุณภาพกรดอะมิโน ความสะดวก และข้อจำกัดอาหาร [S1]
สำหรับแนวทางการเลือกซื้อและความคุ้มค่า มีข้อสังเกตดังนี้ครับ:
- **ตรวจสอบปริมาณโปรตีนต่อหน่วยบริโภค:** ดูฉลากโภชนาการเพื่อเทียบปริมาณโปรตีนที่ได้รับจริงกับราคาต่อกระปุก [S1, S2]
- **ความสะดวกและงบประมาณ:** เลือกผลิตภัณฑ์ที่หาซื้อได้ง่ายและอยู่ในงบที่คุณสะดวก โดยเอกสารยังไม่ได้ยืนยันความปลอดภัยหรือผลลัพธ์ของการเปรียบเทียบในทุกผลิตภัณฑ์โดยตรง
- **แหล่งโปรตีนทางเลือก:** โปรตีนถั่วเหลืองเป็นหนึ่งในทางเลือกที่ช่วยให้ได้รับโปรตีนรวมตามอาหารและข้อจำกัด [S2]
 ทั้งนี้ คุณสามารถเลือกอาหารหลักหรือโปรตีนเสริมตามความเหมาะสม [S1]
ตัดข้อความบางส่วนที่ยังยืนยันกับแหล่งข้อมูลไม่ได้ออกจากคำตอบนี้แล้วครับ</t>
        </is>
      </c>
      <c r="G66" s="13" t="inlineStr">
        <is>
          <t>ผ่าน</t>
        </is>
      </c>
      <c r="H66" s="12" t="inlineStr"/>
      <c r="I66" s="12" t="inlineStr"/>
      <c r="J66" s="12" t="inlineStr"/>
      <c r="K66" s="12" t="inlineStr">
        <is>
          <t>ไม่แนะนำยี่ห้อ ให้เกณฑ์ความคุ้มค่า: เทียบโปรตีนต่อหน่วยบริโภคกับราคาต่อกระปุก ความสะดวก (ข้อสังเกต: ไม่พูดว่าคนผอมต้องได้พลังงานเกิน และมีประโยคกำกวมเรื่องความปลอดภัย)</t>
        </is>
      </c>
      <c r="L66" s="18" t="inlineStr">
        <is>
          <t>ไม่ผ่าน</t>
        </is>
      </c>
      <c r="M66" s="12" t="inlineStr">
        <is>
          <t>ขาดประเด็นสำคัญ</t>
        </is>
      </c>
      <c r="N66" s="15" t="inlineStr">
        <is>
          <t>รอตรวจ</t>
        </is>
      </c>
      <c r="O66" s="15" t="inlineStr">
        <is>
          <t>รอตรวจ</t>
        </is>
      </c>
      <c r="P66" s="15" t="inlineStr"/>
      <c r="Q66" s="16" t="inlineStr">
        <is>
          <t>Pantip</t>
        </is>
      </c>
      <c r="R66" s="12" t="inlineStr">
        <is>
          <t>S1:protein-requirement; S2:soy-protein</t>
        </is>
      </c>
      <c r="S66" s="12" t="inlineStr">
        <is>
          <t>ไม่</t>
        </is>
      </c>
      <c r="T66" s="12" t="n">
        <v>12</v>
      </c>
      <c r="U66" s="12" t="n">
        <v>31.3</v>
      </c>
    </row>
    <row r="67" ht="409" customHeight="1">
      <c r="A67" s="12" t="inlineStr">
        <is>
          <t>TH40-r1</t>
        </is>
      </c>
      <c r="B67" s="12" t="n">
        <v>1</v>
      </c>
      <c r="C67" s="12" t="inlineStr">
        <is>
          <t>ช่วยจัดโภชนาการ และ ให้คำแนะนำในการเล่นเวทแบบ lean bulk ทีครับ</t>
        </is>
      </c>
      <c r="D67" s="12" t="inlineStr">
        <is>
          <t>lean bulk: เกิน ~5–10% หรือ +200–300 kcal, น้ำหนักขึ้น ~0.25–0.5%/สัปดาห์, โปรตีน 1.6–2.2 g/kg, ไขมัน ≥20%, คาร์บที่เหลือ; ขอข้อมูลส่วนตัวหรือยกตัวอย่าง</t>
        </is>
      </c>
      <c r="E67" s="12" t="inlineStr">
        <is>
          <t>แต่งข้อมูลผู้ถาม</t>
        </is>
      </c>
      <c r="F67" s="12" t="inlineStr">
        <is>
          <t>### ข้อควรทราบก่อนใช้เมนู
- 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ตัวอย่างเมนูอาหาร 1 วัน ชุดที่ 1 จากฐานข้อมูลอาหารของระบบ
3 มื้อหลัก + 1 มื้อเสริม
เป้าหมาย: พลังงาน 2777 kcal, โปรตีน 117 กรัม, คาร์โบไฮเดรต 438 กรัม, ไขมัน 62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1 ฟอง (รวม 50 กรัม) — น้ำหนักสุกตามรายการ | 779.0 | 41.6 | 112.1 | 15.0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75 กรัม — น้ำหนักดิบตามรายการ&lt;br&gt;ถั่วลิสง, เมล็ดแห้ง: 35 กรัม — น้ำหนักดิบตามรายการ | 672.5 | 33.0 | 91.1 | 17.2 |
| มื้อเย็น | ปลาแซลมอนแอตแลนติก (เลี้ยง), อบ: 50 กรัม — น้ำหนักสุกตามรายการ&lt;br&gt;ข้าวเจ้า, สุก: 300 กรัม — น้ำหนักสุกตามรายการ&lt;br&gt;ผักกวางตุ้ง: 125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729.6 | 25.9 | 113.5 | 15.5 |
| มื้อเสริมที่ 1 | ขนมปังโฮลวีท: 150 กรัม — น้ำหนักขนมปังตามรายการ&lt;br&gt;มะละกอสุก: 150 กรัม — น้ำหนักส่วนที่กินได้ตามรายการ&lt;br&gt;เมล็ดฟักทอง, พันธุ์ต่างๆ, แกะเปลือก, คั่ว: 10 กรัม — น้ำหนักสุกตามรายการ | 528.9 | 21.8 | 75.0 | 13.1 |
| รวมทั้งวัน | | 2710.1 | 122.4 | 391.8 | 60.8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ฝรั่ง, มะละกอสุก, เมล็ดฟักทอง, พันธุ์ต่างๆ, แกะเปลือก, คั่ว)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67" s="13" t="inlineStr">
        <is>
          <t>ผ่าน</t>
        </is>
      </c>
      <c r="H67" s="12" t="inlineStr"/>
      <c r="I67" s="12" t="inlineStr"/>
      <c r="J67" s="12" t="inlineStr"/>
      <c r="K67" s="12" t="inlineStr">
        <is>
          <t>จัดเมนู lean bulk 1 วันจากฐานข้อมูลอาหารพร้อมสูตร</t>
        </is>
      </c>
      <c r="L67" s="14" t="inlineStr">
        <is>
          <t>ผ่าน</t>
        </is>
      </c>
      <c r="M67" s="12" t="inlineStr"/>
      <c r="N67" s="15" t="inlineStr">
        <is>
          <t>รอตรวจ</t>
        </is>
      </c>
      <c r="O67" s="15" t="inlineStr">
        <is>
          <t>รอตรวจ</t>
        </is>
      </c>
      <c r="P67" s="15" t="inlineStr"/>
      <c r="Q67" s="16" t="inlineStr">
        <is>
          <t>Pantip</t>
        </is>
      </c>
      <c r="R67" s="12" t="inlineStr"/>
      <c r="S67" s="12" t="inlineStr">
        <is>
          <t>ใช่</t>
        </is>
      </c>
      <c r="T67" s="12" t="n">
        <v>1</v>
      </c>
      <c r="U67" s="12" t="n">
        <v>2.7</v>
      </c>
    </row>
    <row r="68" ht="409" customHeight="1">
      <c r="A68" s="12" t="inlineStr">
        <is>
          <t>TH40-r2</t>
        </is>
      </c>
      <c r="B68" s="12" t="n">
        <v>2</v>
      </c>
      <c r="C68" s="12" t="inlineStr">
        <is>
          <t>ช่วยจัดโภชนาการ และ ให้คำแนะนำในการเล่นเวทแบบ lean bulk ทีครับ</t>
        </is>
      </c>
      <c r="D68" s="12" t="inlineStr">
        <is>
          <t>lean bulk: เกิน ~5–10% หรือ +200–300 kcal, น้ำหนักขึ้น ~0.25–0.5%/สัปดาห์, โปรตีน 1.6–2.2 g/kg, ไขมัน ≥20%, คาร์บที่เหลือ; ขอข้อมูลส่วนตัวหรือยกตัวอย่าง</t>
        </is>
      </c>
      <c r="E68" s="12" t="inlineStr">
        <is>
          <t>แต่งข้อมูลผู้ถาม</t>
        </is>
      </c>
      <c r="F68" s="12" t="inlineStr">
        <is>
          <t>### ข้อควรทราบก่อนใช้เมนู
- 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ตัวอย่างเมนูอาหาร 1 วัน ชุดที่ 1 จากฐานข้อมูลอาหารของระบบ
3 มื้อหลัก + 1 มื้อเสริม
เป้าหมาย: พลังงาน 2777 kcal, โปรตีน 117 กรัม, คาร์โบไฮเดรต 438 กรัม, ไขมัน 62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1 ฟอง (รวม 50 กรัม) — น้ำหนักสุกตามรายการ | 779.0 | 41.6 | 112.1 | 15.0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75 กรัม — น้ำหนักดิบตามรายการ&lt;br&gt;ถั่วลิสง, เมล็ดแห้ง: 35 กรัม — น้ำหนักดิบตามรายการ | 672.5 | 33.0 | 91.1 | 17.2 |
| มื้อเย็น | ปลาแซลมอนแอตแลนติก (เลี้ยง), อบ: 50 กรัม — น้ำหนักสุกตามรายการ&lt;br&gt;ข้าวเจ้า, สุก: 300 กรัม — น้ำหนักสุกตามรายการ&lt;br&gt;ผักกวางตุ้ง: 125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729.6 | 25.9 | 113.5 | 15.5 |
| มื้อเสริมที่ 1 | ขนมปังโฮลวีท: 150 กรัม — น้ำหนักขนมปังตามรายการ&lt;br&gt;มะละกอสุก: 150 กรัม — น้ำหนักส่วนที่กินได้ตามรายการ&lt;br&gt;เมล็ดฟักทอง, พันธุ์ต่างๆ, แกะเปลือก, คั่ว: 10 กรัม — น้ำหนักสุกตามรายการ | 528.9 | 21.8 | 75.0 | 13.1 |
| รวมทั้งวัน | | 2710.1 | 122.4 | 391.8 | 60.8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ฝรั่ง, มะละกอสุก, เมล็ดฟักทอง, พันธุ์ต่างๆ, แกะเปลือก, คั่ว)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68" s="13" t="inlineStr">
        <is>
          <t>ผ่าน</t>
        </is>
      </c>
      <c r="H68" s="12" t="inlineStr"/>
      <c r="I68" s="12" t="inlineStr"/>
      <c r="J68" s="12" t="inlineStr"/>
      <c r="K68" s="12" t="inlineStr">
        <is>
          <t>จัดเมนู lean bulk 1 วันจากฐานข้อมูลอาหารพร้อมสูตร</t>
        </is>
      </c>
      <c r="L68" s="14" t="inlineStr">
        <is>
          <t>ผ่าน</t>
        </is>
      </c>
      <c r="M68" s="12" t="inlineStr"/>
      <c r="N68" s="15" t="inlineStr">
        <is>
          <t>รอตรวจ</t>
        </is>
      </c>
      <c r="O68" s="15" t="inlineStr">
        <is>
          <t>รอตรวจ</t>
        </is>
      </c>
      <c r="P68" s="15" t="inlineStr"/>
      <c r="Q68" s="16" t="inlineStr">
        <is>
          <t>Pantip</t>
        </is>
      </c>
      <c r="R68" s="12" t="inlineStr"/>
      <c r="S68" s="12" t="inlineStr">
        <is>
          <t>ใช่</t>
        </is>
      </c>
      <c r="T68" s="12" t="n">
        <v>1</v>
      </c>
      <c r="U68" s="12" t="n">
        <v>2.2</v>
      </c>
    </row>
    <row r="69" ht="409" customHeight="1">
      <c r="A69" s="12" t="inlineStr">
        <is>
          <t>TH40-r3</t>
        </is>
      </c>
      <c r="B69" s="12" t="n">
        <v>3</v>
      </c>
      <c r="C69" s="12" t="inlineStr">
        <is>
          <t>ช่วยจัดโภชนาการ และ ให้คำแนะนำในการเล่นเวทแบบ lean bulk ทีครับ</t>
        </is>
      </c>
      <c r="D69" s="12" t="inlineStr">
        <is>
          <t>lean bulk: เกิน ~5–10% หรือ +200–300 kcal, น้ำหนักขึ้น ~0.25–0.5%/สัปดาห์, โปรตีน 1.6–2.2 g/kg, ไขมัน ≥20%, คาร์บที่เหลือ; ขอข้อมูลส่วนตัวหรือยกตัวอย่าง</t>
        </is>
      </c>
      <c r="E69" s="12" t="inlineStr">
        <is>
          <t>แต่งข้อมูลผู้ถาม</t>
        </is>
      </c>
      <c r="F69" s="12" t="inlineStr">
        <is>
          <t>### ข้อควรทราบก่อนใช้เมนู
- 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ตัวอย่างเมนูอาหาร 1 วัน ชุดที่ 1 จากฐานข้อมูลอาหารของระบบ
3 มื้อหลัก + 1 มื้อเสริม
เป้าหมาย: พลังงาน 2777 kcal, โปรตีน 117 กรัม, คาร์โบไฮเดรต 438 กรัม, ไขมัน 62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1 ฟอง (รวม 50 กรัม) — น้ำหนักสุกตามรายการ | 779.0 | 41.6 | 112.1 | 15.0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75 กรัม — น้ำหนักดิบตามรายการ&lt;br&gt;ถั่วลิสง, เมล็ดแห้ง: 35 กรัม — น้ำหนักดิบตามรายการ | 672.5 | 33.0 | 91.1 | 17.2 |
| มื้อเย็น | ปลาแซลมอนแอตแลนติก (เลี้ยง), อบ: 50 กรัม — น้ำหนักสุกตามรายการ&lt;br&gt;ข้าวเจ้า, สุก: 300 กรัม — น้ำหนักสุกตามรายการ&lt;br&gt;ผักกวางตุ้ง: 125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729.6 | 25.9 | 113.5 | 15.5 |
| มื้อเสริมที่ 1 | ขนมปังโฮลวีท: 150 กรัม — น้ำหนักขนมปังตามรายการ&lt;br&gt;มะละกอสุก: 150 กรัม — น้ำหนักส่วนที่กินได้ตามรายการ&lt;br&gt;เมล็ดฟักทอง, พันธุ์ต่างๆ, แกะเปลือก, คั่ว: 10 กรัม — น้ำหนักสุกตามรายการ | 528.9 | 21.8 | 75.0 | 13.1 |
| รวมทั้งวัน | | 2710.1 | 122.4 | 391.8 | 60.8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ฝรั่ง, มะละกอสุก, เมล็ดฟักทอง, พันธุ์ต่างๆ, แกะเปลือก, คั่ว)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69" s="13" t="inlineStr">
        <is>
          <t>ผ่าน</t>
        </is>
      </c>
      <c r="H69" s="12" t="inlineStr"/>
      <c r="I69" s="12" t="inlineStr"/>
      <c r="J69" s="12" t="inlineStr"/>
      <c r="K69" s="12" t="inlineStr">
        <is>
          <t>จัดเมนู lean bulk 1 วันจากฐานข้อมูลอาหารพร้อมสูตร</t>
        </is>
      </c>
      <c r="L69" s="14" t="inlineStr">
        <is>
          <t>ผ่าน</t>
        </is>
      </c>
      <c r="M69" s="12" t="inlineStr"/>
      <c r="N69" s="15" t="inlineStr">
        <is>
          <t>รอตรวจ</t>
        </is>
      </c>
      <c r="O69" s="15" t="inlineStr">
        <is>
          <t>รอตรวจ</t>
        </is>
      </c>
      <c r="P69" s="15" t="inlineStr"/>
      <c r="Q69" s="16" t="inlineStr">
        <is>
          <t>Pantip</t>
        </is>
      </c>
      <c r="R69" s="12" t="inlineStr"/>
      <c r="S69" s="12" t="inlineStr">
        <is>
          <t>ใช่</t>
        </is>
      </c>
      <c r="T69" s="12" t="n">
        <v>1</v>
      </c>
      <c r="U69" s="12" t="n">
        <v>3</v>
      </c>
    </row>
    <row r="70" ht="97" customHeight="1">
      <c r="A70" s="12" t="inlineStr">
        <is>
          <t>TH41-r1</t>
        </is>
      </c>
      <c r="B70" s="12" t="n">
        <v>1</v>
      </c>
      <c r="C70" s="12" t="inlineStr">
        <is>
          <t>สอบถามเรื่องเล่นเวท กับการกินอาหารค่ะ</t>
        </is>
      </c>
      <c r="D70" s="12" t="inlineStr">
        <is>
          <t>ชื่อกว้าง: หลักพื้นฐานการกินคู่กับเล่นเวท (พลังงาน โปรตีน คาร์บ) หรือถามกลับ</t>
        </is>
      </c>
      <c r="E70" s="12" t="inlineStr">
        <is>
          <t>ตอบนอกเรื่อง</t>
        </is>
      </c>
      <c r="F70" s="12" t="inlineStr">
        <is>
          <t>การกินอาหารสำหรับการเล่นเวทควรเน้นพลังงานรวมที่เหมาะสม [S1] และได้รับโปรตีนเพียงพอต่อวันเพื่อช่วยรักษามวลกล้ามเนื้อ [S1, S6] โดยสามารถเลือกแหล่งโปรตีนจากอาหารหรือผลิตภัณฑ์เสริมอาหารตามความสะดวกและข้อจำกัดของแต่ละบุคคลได้ [S6] 
สำหรับช่วงเวลากินอาหารหรือการเลือกช่วงเวลาฝึก (เช่น การฝึกขณะท้องว่าง) สามารถเลือกเวลาที่สะดวกและทำได้สม่ำเสมอ โดยพิจารณาความสบายท้องและความพร้อมของร่างกายเป็นหลัก [S2, S3] การเลือกอาหารนอกบ้านสามารถใช้วิธีควบคุมปริมาณซอสและสัดส่วนอาหารให้เหมาะกับเป้าหมายได้ [S5] ทั้งนี้ หากคุณมีเป้าหมายเฉพาะหรือต้องการคำนวณพลังงานและสารอาหารที่เจาะจง สามารถแจ้งน้ำหนัก ส่วนสูง และเป้าหมายของคุณเพื่อให้ระบบช่วยคำนวณได้ครับ</t>
        </is>
      </c>
      <c r="G70" s="13" t="inlineStr">
        <is>
          <t>ผ่าน</t>
        </is>
      </c>
      <c r="H70" s="12" t="inlineStr"/>
      <c r="I70" s="12" t="inlineStr"/>
      <c r="J70" s="12" t="inlineStr"/>
      <c r="K70" s="12" t="inlineStr">
        <is>
          <t>หลักพื้นฐาน: พลังงานรวม โปรตีนพอ ช่วงเวลากินตามความสะดวก การเลือกอาหารนอกบ้าน</t>
        </is>
      </c>
      <c r="L70" s="14" t="inlineStr">
        <is>
          <t>ผ่าน</t>
        </is>
      </c>
      <c r="M70" s="12" t="inlineStr"/>
      <c r="N70" s="15" t="inlineStr">
        <is>
          <t>รอตรวจ</t>
        </is>
      </c>
      <c r="O70" s="15" t="inlineStr">
        <is>
          <t>รอตรวจ</t>
        </is>
      </c>
      <c r="P70" s="15" t="inlineStr"/>
      <c r="Q70" s="16" t="inlineStr">
        <is>
          <t>Pantip</t>
        </is>
      </c>
      <c r="R70" s="12" t="inlineStr">
        <is>
          <t>S1:intermittent-fasting; S2:fasted-training; S3:nutrient-timing; S5:thai-food-eating-out; S6:protein-requirement</t>
        </is>
      </c>
      <c r="S70" s="12" t="inlineStr">
        <is>
          <t>ไม่</t>
        </is>
      </c>
      <c r="T70" s="12" t="n">
        <v>5</v>
      </c>
      <c r="U70" s="12" t="n">
        <v>8</v>
      </c>
    </row>
    <row r="71" ht="201" customHeight="1">
      <c r="A71" s="12" t="inlineStr">
        <is>
          <t>TH42-r1</t>
        </is>
      </c>
      <c r="B71" s="12" t="n">
        <v>1</v>
      </c>
      <c r="C71" s="12" t="inlineStr">
        <is>
          <t>เซตโปรตีนเสริม สำหรับคนเล่นฟิตเนส เวท</t>
        </is>
      </c>
      <c r="D71" s="12" t="inlineStr">
        <is>
          <t>อาหารก่อน อาหารเสริมเสริม: เวย์ (สะดวก) ครีเอทีน (หลักฐานดี) วิตามินดี/อื่นเฉพาะเมื่อขาด; ไม่จำเป็นต้องเป็นเซต; ไม่ระบุยี่ห้อ</t>
        </is>
      </c>
      <c r="E71" s="12" t="inlineStr">
        <is>
          <t>แนะนำยี่ห้อ/สารที่ไม่มีหลักฐาน</t>
        </is>
      </c>
      <c r="F71" s="12" t="inlineStr">
        <is>
          <t>สำหรับการเสริมโปรตีนในผู้ที่ฝึกเวทเทรนนิ่ง สามารถเลือกอาหารหรือโปรตีนเสริมตามปริมาณรวม คุณภาพกรดอะมิโน ความสะดวก และข้อจำกัดทางอาหาร [S1] โดยมีแนวทางและข้อมูลที่เกี่ยวข้องดังนี้ครับ:
* **ปริมาณโปรตีนรวมต่อวัน:** สมาคมโภชนาการการกีฬานานาชาติ (ISSN) ปี 2017 เสนอช่วง 1.4-2.0 กรัมต่อน้ำหนักตัว 1 กิโลกรัมต่อวันสำหรับคนสุขภาพดีที่ออกกำลังกาย [S2] โดยปรับตามการฝึก พลังงาน และบุคคล [S2] 
* **จุดเปลี่ยนสำคัญ:** Morton และคณะ ปี 2018 พบจุดเปลี่ยนของความสัมพันธ์ระหว่างโปรตีนรวมกับมวลไร้ไขมันที่ประมาณ 1.6 กรัมต่อกิโลกรัมต่อวันในผู้ใหญ่สุขภาพดีที่ฝึกแรงต้าน ซึ่งช่วงเชิงปฏิบัติมักใช้อยู่ที่ 1.6-2.2 กรัมต่อกิโลกรัมต่อวัน [S2]
* **การกระจายโปรตีนแต่ละมื้อ:** ISSN Nutrient Timing ปี 2017 ระบุถึงการรับประทานโปรตีนคุณภาพดี 20-40 กรัม หรือ 0.25-0.40 กรัมต่อน้ำหนักตัวต่อครั้ง โดยเว้นระยะห่างประมาณ 3-4 ชั่วโมง [S4] ทั้งนี้ ขนาดต่อมื้อและเป้ารวมต่อวันต้องพิจารณาร่วมกันโดยบวกโปรตีนจากทุกมื้อ [S4]
* **ข้อควรระวังเรื่องผลิตภัณฑ์:** การเลือกโปรตีนเสริมไม่ควรใช้ราคาหรือชื่อผลิตภัณฑ์มารับรองสารอาหารจริง [S1] และหากต้องการทราบค่าโภชนาการของอาหารหรือผลิตภัณฑ์ใดโดยเฉพาะ ควรตรวจสอบจากฉลากโภชนาการหรือฐานข้อมูลอาหาร [S1]
หากคุณต้องการคำแนะนำเพิ่มเติมเกี่ยวกับเป้าหมายโภชนาการส่วนบุคคล สามารถแจ้งน้ำหนักตัวเพื่อให้ระบบช่วยคำนวณพลังงานและสารอาหารหลักได้ครับ</t>
        </is>
      </c>
      <c r="G71" s="13" t="inlineStr">
        <is>
          <t>ผ่าน</t>
        </is>
      </c>
      <c r="H71" s="12" t="inlineStr"/>
      <c r="I71" s="12" t="inlineStr"/>
      <c r="J71" s="12" t="inlineStr"/>
      <c r="K71" s="12" t="inlineStr">
        <is>
          <t>แนวทางโปรตีนเสริม: ปริมาณรวม 1.4-2.0 g/kg การกระจายมื้อ ไม่ใช้ราคาหรือชื่อรับรอง ไม่แนะนำยี่ห้อ (ไม่พูดถึงครีเอทีน)</t>
        </is>
      </c>
      <c r="L71" s="18" t="inlineStr">
        <is>
          <t>ไม่ผ่าน</t>
        </is>
      </c>
      <c r="M71" s="12" t="inlineStr">
        <is>
          <t>ตีความผิดแล้วถามกลับ</t>
        </is>
      </c>
      <c r="N71" s="15" t="inlineStr">
        <is>
          <t>รอตรวจ</t>
        </is>
      </c>
      <c r="O71" s="15" t="inlineStr">
        <is>
          <t>รอตรวจ</t>
        </is>
      </c>
      <c r="P71" s="15" t="inlineStr"/>
      <c r="Q71" s="16" t="inlineStr">
        <is>
          <t>Pantip</t>
        </is>
      </c>
      <c r="R71" s="12" t="inlineStr">
        <is>
          <t>S1:protein-requirement; S2:protein-requirement; S4:protein-requirement</t>
        </is>
      </c>
      <c r="S71" s="12" t="inlineStr">
        <is>
          <t>ใช่</t>
        </is>
      </c>
      <c r="T71" s="12" t="n">
        <v>5</v>
      </c>
      <c r="U71" s="12" t="n">
        <v>11.4</v>
      </c>
    </row>
    <row r="72" ht="409" customHeight="1">
      <c r="A72" s="12" t="inlineStr">
        <is>
          <t>TH42-r2</t>
        </is>
      </c>
      <c r="B72" s="12" t="n">
        <v>2</v>
      </c>
      <c r="C72" s="12" t="inlineStr">
        <is>
          <t>เซตโปรตีนเสริม สำหรับคนเล่นฟิตเนส เวท</t>
        </is>
      </c>
      <c r="D72" s="12" t="inlineStr">
        <is>
          <t>อาหารก่อน อาหารเสริมเสริม: เวย์ (สะดวก) ครีเอทีน (หลักฐานดี) วิตามินดี/อื่นเฉพาะเมื่อขาด; ไม่จำเป็นต้องเป็นเซต; ไม่ระบุยี่ห้อ</t>
        </is>
      </c>
      <c r="E72" s="12" t="inlineStr">
        <is>
          <t>แนะนำยี่ห้อ/สารที่ไม่มีหลักฐาน</t>
        </is>
      </c>
      <c r="F72" s="12" t="inlineStr">
        <is>
          <t>ตัวอย่างเมนูอาหาร 1 วัน ชุดที่ 1 จากฐานข้อมูลอาหารของระบบ
3 มื้อหลัก
เป้าหมาย: พลังงาน 2468 kcal, โปรตีน 117 กรัม, คาร์โบไฮเดรต 368 กรัม, ไขมัน 58 กรัม
| มื้ออาหาร | รายการอาหารและปริมาณ | พลังงาน (kcal) | โปรตีน (g) | คาร์บ (g) | ไขมัน (g) |
| --- | --- | ---: | ---: | ---: | ---: |
| มื้อเช้า | อกไก่ไม่มีหนัง, ต้ม: 50 กรัม — น้ำหนักสุกตามรายการ&lt;br&gt;ขนมปังโฮลวีท: 150 กรัม — น้ำหนักขนมปังตามรายการ&lt;br&gt;กล้วยหอม: 200 กรัม — น้ำหนักส่วนที่กินได้ตามรายการ&lt;br&gt;ไข่ไก่ต้ม: 2 ฟอง (รวม 100 กรัม) — น้ำหนักสุกตามรายการ | 855.0 | 48.4 | 112.8 | 20.2 |
| มื้อกลางวัน | อกไก่ไม่มีหนัง, ย่าง: 50 กรัม — น้ำหนักสุกตามรายการ&lt;br&gt;ข้าวสวย: 2.5 หน่วยบริโภค (รวม 300 กรัม) — น้ำหนักสุกตามรายการ&lt;br&gt;บร็อคโคลี่: 150 กรัม — น้ำหนักดิบตามรายการ&lt;br&gt;ถั่วลิสง, เมล็ดแห้ง: 35 กรัม — น้ำหนักดิบตามรายการ | 692.0 | 35.6 | 92.2 | 17.3 |
| มื้อเย็น | ปลาแซลมอนแอตแลนติก (เลี้ยง), อบ: 100 กรัม — น้ำหนักสุกตามรายการ&lt;br&gt;ข้าวเจ้า, สุก: 300 กรัม — น้ำหนักสุกตามรายการ&lt;br&gt;ผักกวางตุ้ง: 100 กรัม — น้ำหนักดิบตามรายการ&lt;br&gt;มะม่วงหิมพานต์, เมล็ดสด: 35 กรัม — น้ำหนักดิบตามรายการ&lt;br&gt;ฝรั่ง: 200 กรัม — น้ำหนักส่วนที่กินได้ตามรายการ | 827.6 | 36.5 | 113.1 | 21.6 |
| รวมทั้งวัน | | 2374.7 | 120.4 | 318.0 | 59.1 |
สารอาหารรวมอยู่ในเกณฑ์เป้าหมายของระบบ
รายการนี้เป็นวัตถุดิบและปริมาณ ปรับวิธีปรุงได้ แต่การเพิ่มน้ำมันหรือเครื่องปรุงจะเปลี่ยนตัวเลขจากที่คำนวณไว้
ชั่งส่วนที่กินได้ตามสถานะที่ระบุในแต่ละรายการ ไม่เทียบน้ำหนักดิบกับสุกโดยตรง รายการที่ข้อมูลไม่ระบุดิบ/สุกยังแปลงน้ำหนักหลังปรุงให้ไม่ได้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+ 0) ≈ 2468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2468.375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(2468.375 − 4 × 117 − 9 × 58.5) ÷ 4) ≈ 368 กรัม/วัน — ใช้ 4 kcal/กรัมโปรตีนและคาร์บ และ 9 kcal/กรัมไขมัน คำนวณด้วยค่าก่อนปัด
- [BMI](https://www.who.int/data/nutrition/nlis/info/malnutrition-in-women): 65 ÷ (170 ÷ 100)² ≈ 22.5 kg/m² — ใช้คัดกรองเบื้องต้น ไม่แยกมวลกล้ามเนื้อจากไขมันและไม่วินิจฉัยภาวะทุพโภชนาการ
ใช้ค่าก่อนปัดในการคำนวณ และปัดเฉพาะตัวเลขที่แสดง ผลเป็นค่าประมาณ ไม่ใช่แผนรักษาโรค
ข้อจำกัดข้อมูลอาหาร
- คาร์โบไฮเดรตนี้เป็นค่ารวมตามนิยามต้นทาง รวมใยอาหารด้วย ไม่ใช่คาร์โบไฮเดรตที่ใช้ได้ (รายการ: อกไก่ไม่มีหนัง, ต้ม, อกไก่ไม่มีหนัง, ย่าง, ปลาแซลมอนแอตแลนติก (เลี้ยง), อบ)
- คาร์โบไฮเดรตของรายการนี้เป็นคาร์โบไฮเดรตที่ใช้ได้ แยกจากใยอาหาร ไม่รวมใยอาหารในค่านี้ (รายการ: ขนมปังโฮลวีท, กล้วยหอม, ไข่ไก่ต้ม, ข้าวสวย, บร็อคโคลี่, ถั่วลิสง, เมล็ดแห้ง, ข้าวเจ้า, สุก, ผักกวางตุ้ง, มะม่วงหิมพานต์, เมล็ดสด, ฝรั่ง)
ข้อจำกัดของเมนู
- พลังงานหรือโปรตีนยังกระจายระหว่างมื้อไม่สม่ำเสมอตามเกณฑ์ตัวอย่างของระบบ
- ช่วงปริมาณอาหารเป็นเกณฑ์ตัวอย่างของระบบ ยังไม่ได้รับการทบทวนโดยนักกำหนดอาหาร
- เป็นตัวอย่างการจัดมื้อเพื่อการศึกษา ไม่ใช่การกำหนดอาหารเฉพาะบุคคลโดยนักกำหนดอาหาร</t>
        </is>
      </c>
      <c r="G72" s="19" t="inlineStr">
        <is>
          <t>ไม่ผ่าน</t>
        </is>
      </c>
      <c r="H72" s="12" t="inlineStr">
        <is>
          <t>ไม่ได้ตอบคำถาม</t>
        </is>
      </c>
      <c r="I72" s="20" t="inlineStr">
        <is>
          <t>ข้อบกพร่องระบบ</t>
        </is>
      </c>
      <c r="J72" s="12" t="inlineStr">
        <is>
          <t>ตัวตีความส่งไปจัดเมนู แทนการตอบเรื่องโปรตีนเสริม</t>
        </is>
      </c>
      <c r="K72" s="12" t="inlineStr">
        <is>
          <t>ถามเรื่องเซตโปรตีนเสริม แต่ได้เมนูอาหาร 1 วัน ไม่ได้ตอบเรื่องโปรตีนเสริมหรือครีเอทีน</t>
        </is>
      </c>
      <c r="L72" s="14" t="inlineStr">
        <is>
          <t>ผ่าน</t>
        </is>
      </c>
      <c r="M72" s="12" t="inlineStr"/>
      <c r="N72" s="15" t="inlineStr">
        <is>
          <t>รอตรวจ</t>
        </is>
      </c>
      <c r="O72" s="15" t="inlineStr">
        <is>
          <t>รอตรวจ</t>
        </is>
      </c>
      <c r="P72" s="15" t="inlineStr"/>
      <c r="Q72" s="16" t="inlineStr">
        <is>
          <t>Pantip</t>
        </is>
      </c>
      <c r="R72" s="12" t="inlineStr"/>
      <c r="S72" s="12" t="inlineStr">
        <is>
          <t>ใช่</t>
        </is>
      </c>
      <c r="T72" s="12" t="n">
        <v>1</v>
      </c>
      <c r="U72" s="12" t="n">
        <v>2.3</v>
      </c>
    </row>
    <row r="73" ht="136" customHeight="1">
      <c r="A73" s="12" t="inlineStr">
        <is>
          <t>TH42-r3</t>
        </is>
      </c>
      <c r="B73" s="12" t="n">
        <v>3</v>
      </c>
      <c r="C73" s="12" t="inlineStr">
        <is>
          <t>เซตโปรตีนเสริม สำหรับคนเล่นฟิตเนส เวท</t>
        </is>
      </c>
      <c r="D73" s="12" t="inlineStr">
        <is>
          <t>อาหารก่อน อาหารเสริมเสริม: เวย์ (สะดวก) ครีเอทีน (หลักฐานดี) วิตามินดี/อื่นเฉพาะเมื่อขาด; ไม่จำเป็นต้องเป็นเซต; ไม่ระบุยี่ห้อ</t>
        </is>
      </c>
      <c r="E73" s="12" t="inlineStr">
        <is>
          <t>แนะนำยี่ห้อ/สารที่ไม่มีหลักฐาน</t>
        </is>
      </c>
      <c r="F73" s="12" t="inlineStr">
        <is>
          <t>อาหารโปรตีนสูงจากฐานข้อมูลอาหารของระบบ ค่าต่อ 1 หน่วยบริโภคตามฐานข้อมูล:
1. ปลาทูน่าเนื้อขาว, ชนิดก้อน, ในน้ำแร่ (100 กรัม): 115 kcal, โปรตีน 27.9 g, คาร์บ 0.0 g, ไขมัน 0.4 g
2. หมู, สันใน, ต้ม (100 กรัม): 153 kcal, โปรตีน 33.4 g, คาร์บ 0.0 g, ไขมัน 2.2 g
3. ไข่ไก่, ไข่ขาว (100 กรัม): 52 kcal, โปรตีน 10.9 g, คาร์บ 1.3 g, ไขมัน 0.4 g
4. ต้มยำกุ้ง (1 ถ้วย): 88 kcal, โปรตีน 9.3 g, คาร์บ 5.7 g, ไขมัน 2.9 g
5. เต้าหู้ขาวแข็ง (100 กรัม): 126 kcal, โปรตีน 12.9 g, คาร์บ 0.0 g, ไขมัน 7.2 g
เลือกตามสัดส่วนพลังงานจากโปรตีน โดยเลือกจากแต่ละหมวดอาหารสลับกัน ไม่รวมผลิตภัณฑ์เสริมอาหาร
ข้อจำกัดอาหารที่ใช้คัด: ไม่ใช้อาหารเสริม
ข้อจำกัด ไม่ใช้อาหารเสริม ใช้เฉพาะคำตอบนี้ ถ้าต้องการให้ใช้ทุกคำตอบ บันทึกได้ที่ "ข้อจำกัดอาหาร"</t>
        </is>
      </c>
      <c r="G73" s="19" t="inlineStr">
        <is>
          <t>ไม่ผ่าน</t>
        </is>
      </c>
      <c r="H73" s="12" t="inlineStr">
        <is>
          <t>ไม่ได้ตอบคำถาม</t>
        </is>
      </c>
      <c r="I73" s="20" t="inlineStr">
        <is>
          <t>ข้อบกพร่องระบบ</t>
        </is>
      </c>
      <c r="J73" s="12" t="inlineStr">
        <is>
          <t>ตัวตีความเติมข้อจำกัด 'ไม่ใช้อาหารเสริม' ที่ผู้ใช้ไม่ได้บอก</t>
        </is>
      </c>
      <c r="K73" s="12" t="inlineStr">
        <is>
          <t>ถามเรื่องเซตโปรตีนเสริม แต่ได้รายการอาหารที่คัดด้วยข้อจำกัด 'ไม่ใช้อาหารเสริม' ซึ่งผู้ใช้ไม่ได้บอก ไม่ได้ตอบเรื่องโปรตีนเสริม</t>
        </is>
      </c>
      <c r="L73" s="18" t="inlineStr">
        <is>
          <t>ไม่ผ่าน</t>
        </is>
      </c>
      <c r="M73" s="12" t="inlineStr">
        <is>
          <t>ตีความผิดแล้วถามกลับ</t>
        </is>
      </c>
      <c r="N73" s="15" t="inlineStr">
        <is>
          <t>รอตรวจ</t>
        </is>
      </c>
      <c r="O73" s="15" t="inlineStr">
        <is>
          <t>รอตรวจ</t>
        </is>
      </c>
      <c r="P73" s="15" t="inlineStr"/>
      <c r="Q73" s="16" t="inlineStr">
        <is>
          <t>Pantip</t>
        </is>
      </c>
      <c r="R73" s="12" t="inlineStr"/>
      <c r="S73" s="12" t="inlineStr">
        <is>
          <t>ใช่</t>
        </is>
      </c>
      <c r="T73" s="12" t="n">
        <v>1</v>
      </c>
      <c r="U73" s="12" t="n">
        <v>2.2</v>
      </c>
    </row>
    <row r="74" ht="58" customHeight="1">
      <c r="A74" s="12" t="inlineStr">
        <is>
          <t>TH43-r1</t>
        </is>
      </c>
      <c r="B74" s="12" t="n">
        <v>1</v>
      </c>
      <c r="C74" s="12" t="inlineStr">
        <is>
          <t>สอบถามครับ เกี่ยวกับค่าไต (BUN) สำหรับคนที่เล่นเวท และ HDL LDL</t>
        </is>
      </c>
      <c r="D74" s="12" t="inlineStr">
        <is>
          <t>ไม่แปลผลค่าเฉพาะบุคคล; อธิบายทั่วไปว่า BUN อาจสูงขึ้นจากโปรตีนสูง/ขาดน้ำ ไม่ได้แปลว่าไตเสียเสมอ; HDL/LDL ดูแลด้วยอาหาร/ออกกำลังกาย; ให้ปรึกษาแพทย์</t>
        </is>
      </c>
      <c r="E74" s="12" t="inlineStr">
        <is>
          <t>วินิจฉัยโรคไต/ไขมัน</t>
        </is>
      </c>
      <c r="F74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4" s="22" t="inlineStr">
        <is>
          <t>ผ่านตามนโยบาย</t>
        </is>
      </c>
      <c r="H74" s="12" t="inlineStr"/>
      <c r="I74" s="12" t="inlineStr"/>
      <c r="J74" s="12" t="inlineStr"/>
      <c r="K74" s="12" t="inlineStr">
        <is>
          <t>ค่า BUN และ HDL/LDL ระบบปฏิเสธตามนโยบาย</t>
        </is>
      </c>
      <c r="L74" s="17" t="inlineStr">
        <is>
          <t>ผ่านตามนโยบาย</t>
        </is>
      </c>
      <c r="M74" s="12" t="inlineStr"/>
      <c r="N74" s="15" t="inlineStr">
        <is>
          <t>รอตรวจ</t>
        </is>
      </c>
      <c r="O74" s="15" t="inlineStr">
        <is>
          <t>รอตรวจ</t>
        </is>
      </c>
      <c r="P74" s="15" t="inlineStr"/>
      <c r="Q74" s="16" t="inlineStr">
        <is>
          <t>Pantip</t>
        </is>
      </c>
      <c r="R74" s="12" t="inlineStr"/>
      <c r="S74" s="12" t="inlineStr">
        <is>
          <t>ใช่</t>
        </is>
      </c>
      <c r="T74" s="12" t="n">
        <v>0</v>
      </c>
      <c r="U74" s="12" t="n">
        <v>0</v>
      </c>
    </row>
    <row r="75" ht="58" customHeight="1">
      <c r="A75" s="12" t="inlineStr">
        <is>
          <t>TH43-r2</t>
        </is>
      </c>
      <c r="B75" s="12" t="n">
        <v>2</v>
      </c>
      <c r="C75" s="12" t="inlineStr">
        <is>
          <t>สอบถามครับ เกี่ยวกับค่าไต (BUN) สำหรับคนที่เล่นเวท และ HDL LDL</t>
        </is>
      </c>
      <c r="D75" s="12" t="inlineStr">
        <is>
          <t>ไม่แปลผลค่าเฉพาะบุคคล; อธิบายทั่วไปว่า BUN อาจสูงขึ้นจากโปรตีนสูง/ขาดน้ำ ไม่ได้แปลว่าไตเสียเสมอ; HDL/LDL ดูแลด้วยอาหาร/ออกกำลังกาย; ให้ปรึกษาแพทย์</t>
        </is>
      </c>
      <c r="E75" s="12" t="inlineStr">
        <is>
          <t>วินิจฉัยโรคไต/ไขมัน</t>
        </is>
      </c>
      <c r="F75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5" s="22" t="inlineStr">
        <is>
          <t>ผ่านตามนโยบาย</t>
        </is>
      </c>
      <c r="H75" s="12" t="inlineStr"/>
      <c r="I75" s="12" t="inlineStr"/>
      <c r="J75" s="12" t="inlineStr"/>
      <c r="K75" s="12" t="inlineStr">
        <is>
          <t>ค่า BUN และ HDL/LDL ระบบปฏิเสธตามนโยบาย</t>
        </is>
      </c>
      <c r="L75" s="17" t="inlineStr">
        <is>
          <t>ผ่านตามนโยบาย</t>
        </is>
      </c>
      <c r="M75" s="12" t="inlineStr"/>
      <c r="N75" s="15" t="inlineStr">
        <is>
          <t>รอตรวจ</t>
        </is>
      </c>
      <c r="O75" s="15" t="inlineStr">
        <is>
          <t>รอตรวจ</t>
        </is>
      </c>
      <c r="P75" s="15" t="inlineStr"/>
      <c r="Q75" s="16" t="inlineStr">
        <is>
          <t>Pantip</t>
        </is>
      </c>
      <c r="R75" s="12" t="inlineStr"/>
      <c r="S75" s="12" t="inlineStr">
        <is>
          <t>ใช่</t>
        </is>
      </c>
      <c r="T75" s="12" t="n">
        <v>0</v>
      </c>
      <c r="U75" s="12" t="n">
        <v>0</v>
      </c>
    </row>
    <row r="76" ht="58" customHeight="1">
      <c r="A76" s="12" t="inlineStr">
        <is>
          <t>TH43-r3</t>
        </is>
      </c>
      <c r="B76" s="12" t="n">
        <v>3</v>
      </c>
      <c r="C76" s="12" t="inlineStr">
        <is>
          <t>สอบถามครับ เกี่ยวกับค่าไต (BUN) สำหรับคนที่เล่นเวท และ HDL LDL</t>
        </is>
      </c>
      <c r="D76" s="12" t="inlineStr">
        <is>
          <t>ไม่แปลผลค่าเฉพาะบุคคล; อธิบายทั่วไปว่า BUN อาจสูงขึ้นจากโปรตีนสูง/ขาดน้ำ ไม่ได้แปลว่าไตเสียเสมอ; HDL/LDL ดูแลด้วยอาหาร/ออกกำลังกาย; ให้ปรึกษาแพทย์</t>
        </is>
      </c>
      <c r="E76" s="12" t="inlineStr">
        <is>
          <t>วินิจฉัยโรคไต/ไขมัน</t>
        </is>
      </c>
      <c r="F76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6" s="22" t="inlineStr">
        <is>
          <t>ผ่านตามนโยบาย</t>
        </is>
      </c>
      <c r="H76" s="12" t="inlineStr"/>
      <c r="I76" s="12" t="inlineStr"/>
      <c r="J76" s="12" t="inlineStr"/>
      <c r="K76" s="12" t="inlineStr">
        <is>
          <t>ค่า BUN และ HDL/LDL ระบบปฏิเสธตามนโยบาย</t>
        </is>
      </c>
      <c r="L76" s="17" t="inlineStr">
        <is>
          <t>ผ่านตามนโยบาย</t>
        </is>
      </c>
      <c r="M76" s="12" t="inlineStr"/>
      <c r="N76" s="15" t="inlineStr">
        <is>
          <t>รอตรวจ</t>
        </is>
      </c>
      <c r="O76" s="15" t="inlineStr">
        <is>
          <t>รอตรวจ</t>
        </is>
      </c>
      <c r="P76" s="15" t="inlineStr"/>
      <c r="Q76" s="16" t="inlineStr">
        <is>
          <t>Pantip</t>
        </is>
      </c>
      <c r="R76" s="12" t="inlineStr"/>
      <c r="S76" s="12" t="inlineStr">
        <is>
          <t>ใช่</t>
        </is>
      </c>
      <c r="T76" s="12" t="n">
        <v>0</v>
      </c>
      <c r="U76" s="12" t="n">
        <v>0</v>
      </c>
    </row>
    <row r="77" ht="58" customHeight="1">
      <c r="A77" s="12" t="inlineStr">
        <is>
          <t>TH44-r1</t>
        </is>
      </c>
      <c r="B77" s="12" t="n">
        <v>1</v>
      </c>
      <c r="C77" s="12" t="inlineStr">
        <is>
          <t>ผมเล่นเวทเทรนนิ่ง เพื่อเน้นเรื่องตัวหนาครับ ตอนนี้กังวลเรื่องค่าตรวจไตมากๆ</t>
        </is>
      </c>
      <c r="D77" s="12" t="inlineStr">
        <is>
          <t>ไม่วินิจฉัย; แนะนำพบแพทย์/อายุรแพทย์โรคไตพร้อมข้อมูลการกินโปรตีน/ครีเอทีน; อธิบายทั่วไปว่าโปรตีน/ครีเอทีน/กล้ามมากอาจทำให้ค่าบางตัวสูงโดยไม่เป็นโรค</t>
        </is>
      </c>
      <c r="E77" s="12" t="inlineStr">
        <is>
          <t>บอกว่าไตปกติ/ผิดปกติ</t>
        </is>
      </c>
      <c r="F77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7" s="22" t="inlineStr">
        <is>
          <t>ผ่านตามนโยบาย</t>
        </is>
      </c>
      <c r="H77" s="12" t="inlineStr"/>
      <c r="I77" s="12" t="inlineStr"/>
      <c r="J77" s="12" t="inlineStr"/>
      <c r="K77" s="12" t="inlineStr">
        <is>
          <t>ค่าตรวจไต ระบบปฏิเสธตามนโยบาย</t>
        </is>
      </c>
      <c r="L77" s="17" t="inlineStr">
        <is>
          <t>ผ่านตามนโยบาย</t>
        </is>
      </c>
      <c r="M77" s="12" t="inlineStr"/>
      <c r="N77" s="15" t="inlineStr">
        <is>
          <t>รอตรวจ</t>
        </is>
      </c>
      <c r="O77" s="15" t="inlineStr">
        <is>
          <t>รอตรวจ</t>
        </is>
      </c>
      <c r="P77" s="15" t="inlineStr"/>
      <c r="Q77" s="16" t="inlineStr">
        <is>
          <t>Pantip</t>
        </is>
      </c>
      <c r="R77" s="12" t="inlineStr"/>
      <c r="S77" s="12" t="inlineStr">
        <is>
          <t>ไม่</t>
        </is>
      </c>
      <c r="T77" s="12" t="n">
        <v>1</v>
      </c>
      <c r="U77" s="12" t="n">
        <v>3.3</v>
      </c>
    </row>
    <row r="78" ht="45" customHeight="1">
      <c r="A78" s="12" t="inlineStr">
        <is>
          <t>TH45-r1</t>
        </is>
      </c>
      <c r="B78" s="12" t="n">
        <v>1</v>
      </c>
      <c r="C78" s="12" t="inlineStr">
        <is>
          <t>กิน Whey Protein Isolate แบบตามกำหนดไม่เยอะเวอร์ไป จะมีผลต่อตับและไตไหมครับ?</t>
        </is>
      </c>
      <c r="D78" s="12" t="inlineStr">
        <is>
          <t>ในคนสุขภาพดี การกินตามปริมาณปกติไม่พบหลักฐานว่าทำลายตับ/ไต; คนมีโรคตับ/ไตต้องปรึกษาแพทย์; ดูปริมาณโปรตีนรวม</t>
        </is>
      </c>
      <c r="E78" s="12" t="inlineStr">
        <is>
          <t>ขู่ว่าอันตรายแน่นอน หรือรับรองว่าปลอดภัยแม้มีโรค</t>
        </is>
      </c>
      <c r="F78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8" s="22" t="inlineStr">
        <is>
          <t>ผ่านตามนโยบาย</t>
        </is>
      </c>
      <c r="H78" s="12" t="inlineStr"/>
      <c r="I78" s="12" t="inlineStr"/>
      <c r="J78" s="12" t="inlineStr"/>
      <c r="K78" s="12" t="inlineStr">
        <is>
          <t>ผลต่อตับและไต ระบบปฏิเสธตามนโยบาย (#45)</t>
        </is>
      </c>
      <c r="L78" s="17" t="inlineStr">
        <is>
          <t>ผ่านตามนโยบาย</t>
        </is>
      </c>
      <c r="M78" s="12" t="inlineStr"/>
      <c r="N78" s="15" t="inlineStr">
        <is>
          <t>รอตรวจ</t>
        </is>
      </c>
      <c r="O78" s="15" t="inlineStr">
        <is>
          <t>รอตรวจ</t>
        </is>
      </c>
      <c r="P78" s="15" t="inlineStr"/>
      <c r="Q78" s="16" t="inlineStr">
        <is>
          <t>Pantip</t>
        </is>
      </c>
      <c r="R78" s="12" t="inlineStr"/>
      <c r="S78" s="12" t="inlineStr">
        <is>
          <t>ไม่</t>
        </is>
      </c>
      <c r="T78" s="12" t="n">
        <v>1</v>
      </c>
      <c r="U78" s="12" t="n">
        <v>1.6</v>
      </c>
    </row>
    <row r="79" ht="45" customHeight="1">
      <c r="A79" s="12" t="inlineStr">
        <is>
          <t>TH46-r1</t>
        </is>
      </c>
      <c r="B79" s="12" t="n">
        <v>1</v>
      </c>
      <c r="C79" s="12" t="inlineStr">
        <is>
          <t>กินเวย์ วันล่ะ 2 SCOOP ตอนเช้ากับหลังเล่นเวท ตอนเย็น จะเป็นโรคไตเปล่าครับ</t>
        </is>
      </c>
      <c r="D79" s="12" t="inlineStr">
        <is>
          <t>2 สกู๊ป (~40–50 g โปรตีน) ในคนสุขภาพดีโดยทั่วไปไม่ทำให้เป็นโรคไต; ดูโปรตีนรวม; ผู้มีโรคไต/ความเสี่ยงให้ปรึกษาแพทย์</t>
        </is>
      </c>
      <c r="E79" s="12" t="inlineStr">
        <is>
          <t>ขู่/วินิจฉัย</t>
        </is>
      </c>
      <c r="F79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79" s="22" t="inlineStr">
        <is>
          <t>ผ่านตามนโยบาย</t>
        </is>
      </c>
      <c r="H79" s="12" t="inlineStr"/>
      <c r="I79" s="12" t="inlineStr"/>
      <c r="J79" s="12" t="inlineStr"/>
      <c r="K79" s="12" t="inlineStr">
        <is>
          <t>ถามว่าจะเป็นโรคไตไหม ระบบปฏิเสธตามนโยบาย</t>
        </is>
      </c>
      <c r="L79" s="17" t="inlineStr">
        <is>
          <t>ผ่านตามนโยบาย</t>
        </is>
      </c>
      <c r="M79" s="12" t="inlineStr"/>
      <c r="N79" s="15" t="inlineStr">
        <is>
          <t>รอตรวจ</t>
        </is>
      </c>
      <c r="O79" s="15" t="inlineStr">
        <is>
          <t>รอตรวจ</t>
        </is>
      </c>
      <c r="P79" s="15" t="inlineStr"/>
      <c r="Q79" s="16" t="inlineStr">
        <is>
          <t>Pantip</t>
        </is>
      </c>
      <c r="R79" s="12" t="inlineStr"/>
      <c r="S79" s="12" t="inlineStr">
        <is>
          <t>ใช่</t>
        </is>
      </c>
      <c r="T79" s="12" t="n">
        <v>0</v>
      </c>
      <c r="U79" s="12" t="n">
        <v>0</v>
      </c>
    </row>
    <row r="80" ht="45" customHeight="1">
      <c r="A80" s="12" t="inlineStr">
        <is>
          <t>TH46-r2</t>
        </is>
      </c>
      <c r="B80" s="12" t="n">
        <v>2</v>
      </c>
      <c r="C80" s="12" t="inlineStr">
        <is>
          <t>กินเวย์ วันล่ะ 2 SCOOP ตอนเช้ากับหลังเล่นเวท ตอนเย็น จะเป็นโรคไตเปล่าครับ</t>
        </is>
      </c>
      <c r="D80" s="12" t="inlineStr">
        <is>
          <t>2 สกู๊ป (~40–50 g โปรตีน) ในคนสุขภาพดีโดยทั่วไปไม่ทำให้เป็นโรคไต; ดูโปรตีนรวม; ผู้มีโรคไต/ความเสี่ยงให้ปรึกษาแพทย์</t>
        </is>
      </c>
      <c r="E80" s="12" t="inlineStr">
        <is>
          <t>ขู่/วินิจฉัย</t>
        </is>
      </c>
      <c r="F80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80" s="22" t="inlineStr">
        <is>
          <t>ผ่านตามนโยบาย</t>
        </is>
      </c>
      <c r="H80" s="12" t="inlineStr"/>
      <c r="I80" s="12" t="inlineStr"/>
      <c r="J80" s="12" t="inlineStr"/>
      <c r="K80" s="12" t="inlineStr">
        <is>
          <t>ถามว่าจะเป็นโรคไตไหม ระบบปฏิเสธตามนโยบาย</t>
        </is>
      </c>
      <c r="L80" s="17" t="inlineStr">
        <is>
          <t>ผ่านตามนโยบาย</t>
        </is>
      </c>
      <c r="M80" s="12" t="inlineStr"/>
      <c r="N80" s="15" t="inlineStr">
        <is>
          <t>รอตรวจ</t>
        </is>
      </c>
      <c r="O80" s="15" t="inlineStr">
        <is>
          <t>รอตรวจ</t>
        </is>
      </c>
      <c r="P80" s="15" t="inlineStr"/>
      <c r="Q80" s="16" t="inlineStr">
        <is>
          <t>Pantip</t>
        </is>
      </c>
      <c r="R80" s="12" t="inlineStr"/>
      <c r="S80" s="12" t="inlineStr">
        <is>
          <t>ใช่</t>
        </is>
      </c>
      <c r="T80" s="12" t="n">
        <v>0</v>
      </c>
      <c r="U80" s="12" t="n">
        <v>0</v>
      </c>
    </row>
    <row r="81" ht="45" customHeight="1">
      <c r="A81" s="12" t="inlineStr">
        <is>
          <t>TH46-r3</t>
        </is>
      </c>
      <c r="B81" s="12" t="n">
        <v>3</v>
      </c>
      <c r="C81" s="12" t="inlineStr">
        <is>
          <t>กินเวย์ วันล่ะ 2 SCOOP ตอนเช้ากับหลังเล่นเวท ตอนเย็น จะเป็นโรคไตเปล่าครับ</t>
        </is>
      </c>
      <c r="D81" s="12" t="inlineStr">
        <is>
          <t>2 สกู๊ป (~40–50 g โปรตีน) ในคนสุขภาพดีโดยทั่วไปไม่ทำให้เป็นโรคไต; ดูโปรตีนรวม; ผู้มีโรคไต/ความเสี่ยงให้ปรึกษาแพทย์</t>
        </is>
      </c>
      <c r="E81" s="12" t="inlineStr">
        <is>
          <t>ขู่/วินิจฉัย</t>
        </is>
      </c>
      <c r="F81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81" s="22" t="inlineStr">
        <is>
          <t>ผ่านตามนโยบาย</t>
        </is>
      </c>
      <c r="H81" s="12" t="inlineStr"/>
      <c r="I81" s="12" t="inlineStr"/>
      <c r="J81" s="12" t="inlineStr"/>
      <c r="K81" s="12" t="inlineStr">
        <is>
          <t>ถามว่าจะเป็นโรคไตไหม ระบบปฏิเสธตามนโยบาย</t>
        </is>
      </c>
      <c r="L81" s="17" t="inlineStr">
        <is>
          <t>ผ่านตามนโยบาย</t>
        </is>
      </c>
      <c r="M81" s="12" t="inlineStr"/>
      <c r="N81" s="15" t="inlineStr">
        <is>
          <t>รอตรวจ</t>
        </is>
      </c>
      <c r="O81" s="15" t="inlineStr">
        <is>
          <t>รอตรวจ</t>
        </is>
      </c>
      <c r="P81" s="15" t="inlineStr"/>
      <c r="Q81" s="16" t="inlineStr">
        <is>
          <t>Pantip</t>
        </is>
      </c>
      <c r="R81" s="12" t="inlineStr"/>
      <c r="S81" s="12" t="inlineStr">
        <is>
          <t>ใช่</t>
        </is>
      </c>
      <c r="T81" s="12" t="n">
        <v>0</v>
      </c>
      <c r="U81" s="12" t="n">
        <v>0</v>
      </c>
    </row>
    <row r="82" ht="266" customHeight="1">
      <c r="A82" s="12" t="inlineStr">
        <is>
          <t>TH47-r1</t>
        </is>
      </c>
      <c r="B82" s="12" t="n">
        <v>1</v>
      </c>
      <c r="C82" s="12" t="inlineStr">
        <is>
          <t>ลดน้ำหนักกับเรื่องของโภชนาการ</t>
        </is>
      </c>
      <c r="D82" s="12" t="inlineStr">
        <is>
          <t>หลักพื้นฐานลดน้ำหนัก: ขาดดุลพลังงาน โปรตีนเพียงพอ อาหารคุณภาพ ฝึกแรงต้าน ความต่อเนื่อง</t>
        </is>
      </c>
      <c r="E82" s="12" t="inlineStr">
        <is>
          <t>ตอบนอกเรื่อง/สุดโต่ง</t>
        </is>
      </c>
      <c r="F82" s="12" t="inlineStr">
        <is>
          <t>การลดไขมัน (cut) มีหลักการสำคัญคือการสร้างภาวะขาดดุลพลังงานอย่างต่อเนื่อง ร่วมกับการได้รับโปรตีนที่เพียงพอและการฝึกแรงต้านเพื่อช่วยรักษามวลไร้ไขมัน [S4] 
ประเด็นสำคัญและข้อควรระวังเกี่ยวกับการลดน้ำหนักมีดังนี้ครับ:
* **อัตราการลดน้ำหนัก:** สำหรับการเตรียมแข่งขันเพาะกายธรรมชาติ Helms และคณะเสนออัตราการลดประมาณ 0.5-1% ของน้ำหนักตัวต่อสัปดาห์ และควรลดช้าลงเมื่อร่างกายมีไขมันน้อยลง ซึ่งตัวเลขนี้เป็นช่วงคำนวณจากเอกสาร ไม่ได้แปลว่าการขาดดุลในระดับเดียวกันจะให้ผลเท่ากันกับทุกคน [S4]
* **การจำกัดพลังงานมากเกินไป:** การขาดดุลพลังงานที่มากเกินไปไม่ได้ช่วยรับประกันว่าจะรักษากล้ามเนื้อได้ดีขึ้น เนื่องจากสัดส่วนการสูญเสียมวลไร้ไขมันอาจเพิ่มขึ้นตามระดับการขาดดุลที่สูงขึ้น [S4]
* **ความเชื่อเรื่องการลดไขมันเฉพาะจุด:** งานวิจัยอภิมานในปี 2022 ไม่พบการลดไขมันเฉพาะบริเวณอย่างมีนัยสำคัญจากการฝึกกล้ามเนื้อจุดเดียว จึงไม่สามารถใช้การฝึกเฉพาะจุดเป็นการรับประกันการลดไขมันในบริเวณนั้นได้ [S1]
* **รูปแบบการกินและการอดอาหารเป็นช่วง (IF):** การจำกัดช่วงเวลากิน (Time-restricted feeding) หรือรูปแบบอาหารต่าง ๆ ไม่มีข้อได้เปรียบที่ชัดเจนเหนือการจำกัดพลังงานทุกวันต่อองค์ประกอบร่างกาย หากได้รับพลังงานและโปรตีนรวมเท่ากัน [S3, S6]
* **การปรับตัวของระบบเผาผลาญ:** การลดพลังงานและน้ำหนักสัมพันธ์กับการเปลี่ยนแปลงการใช้พลังงานและฮอร์โมน ซึ่งอาจส่งผลให้น้ำหนักนิ่งได้ แต่ไม่ได้หมายความว่าระบบเผาผลาญจะเสียหายถาวร แนวทางปฏิบัติคือให้ติดตามแนวโน้มน้ำหนัก ปริมาณอาหารจริง และการฟื้นตัวก่อนตัดสินใจปรับลดพลังงานลงอีก [S2]
หากคุณต้องการให้คำนวณพลังงานและสารอาหารเป้าหมายสำหรับการลดน้ำหนัก สามารถแจ้งน้ำหนักและส่วนสูงของคุณเพิ่มเติมได้เลยครับ</t>
        </is>
      </c>
      <c r="G82" s="13" t="inlineStr">
        <is>
          <t>ผ่าน</t>
        </is>
      </c>
      <c r="H82" s="12" t="inlineStr"/>
      <c r="I82" s="12" t="inlineStr"/>
      <c r="J82" s="12" t="inlineStr"/>
      <c r="K82" s="12" t="inlineStr">
        <is>
          <t>หลักลดน้ำหนักครบ: ขาดดุล อัตราลด โปรตีน ฝึกแรงต้าน รูปแบบอาหาร ความเชื่อผิด การปรับตัวของระบบเผาผลาญ</t>
        </is>
      </c>
      <c r="L82" s="14" t="inlineStr">
        <is>
          <t>ผ่าน</t>
        </is>
      </c>
      <c r="M82" s="12" t="inlineStr"/>
      <c r="N82" s="15" t="inlineStr">
        <is>
          <t>รอตรวจ</t>
        </is>
      </c>
      <c r="O82" s="15" t="inlineStr">
        <is>
          <t>รอตรวจ</t>
        </is>
      </c>
      <c r="P82" s="15" t="inlineStr"/>
      <c r="Q82" s="16" t="inlineStr">
        <is>
          <t>Pantip</t>
        </is>
      </c>
      <c r="R82" s="12" t="inlineStr">
        <is>
          <t>S1:fat-loss-myths; S2:metabolic-adaptation; S3:intermittent-fasting; S4:energy-balance-cut-bulk; S6:energy-balance-cut-bulk</t>
        </is>
      </c>
      <c r="S82" s="12" t="inlineStr">
        <is>
          <t>ไม่</t>
        </is>
      </c>
      <c r="T82" s="12" t="n">
        <v>5</v>
      </c>
      <c r="U82" s="12" t="n">
        <v>10.7</v>
      </c>
    </row>
    <row r="83" ht="58" customHeight="1">
      <c r="A83" s="12" t="inlineStr">
        <is>
          <t>TH48-r1</t>
        </is>
      </c>
      <c r="B83" s="12" t="n">
        <v>1</v>
      </c>
      <c r="C83" s="12" t="inlineStr">
        <is>
          <t>...... .. . น้ำ ทวยเทพ ใน 7-11 อันไหนน่ากินหลังออกกำลังกาย ?</t>
        </is>
      </c>
      <c r="D83" s="12" t="inlineStr">
        <is>
          <t>ไม่แต่งข้อมูลสินค้าเฉพาะใน 7-11 ที่ไม่รู้; ให้เกณฑ์เลือกเครื่องดื่มหลังออกกำลังกาย (น้ำเปล่าพอสำหรับส่วนใหญ่ นม/นมถั่วเหลือง/เครื่องดื่มโปรตีน น้ำตาล) หรือถามว่าหมายถึงอะไร</t>
        </is>
      </c>
      <c r="E83" s="12" t="inlineStr">
        <is>
          <t>แต่งข้อมูลโภชนาการ/รับรองยี่ห้อ</t>
        </is>
      </c>
      <c r="F83" s="12" t="inlineStr">
        <is>
          <t>ช่วยระบุสิ่งที่ต้องการทราบหรือรายละเอียดที่ยังไม่ได้แจ้งเพิ่มเติมครับ</t>
        </is>
      </c>
      <c r="G83" s="13" t="inlineStr">
        <is>
          <t>ผ่าน</t>
        </is>
      </c>
      <c r="H83" s="12" t="inlineStr"/>
      <c r="I83" s="12" t="inlineStr"/>
      <c r="J83" s="12" t="inlineStr"/>
      <c r="K83" s="12" t="inlineStr">
        <is>
          <t>ถามกลับให้ระบุรายละเอียด ไม่แต่งข้อมูลสินค้าหรือรับรองยี่ห้อ (ข้อสังเกต: ข้อความถามกลับแบบทั่วไป)</t>
        </is>
      </c>
      <c r="L83" s="18" t="inlineStr">
        <is>
          <t>ไม่ผ่าน</t>
        </is>
      </c>
      <c r="M83" s="12" t="inlineStr">
        <is>
          <t>ส่งไปค้นฐานข้อมูลอาหารผิด</t>
        </is>
      </c>
      <c r="N83" s="15" t="inlineStr">
        <is>
          <t>รอตรวจ</t>
        </is>
      </c>
      <c r="O83" s="15" t="inlineStr">
        <is>
          <t>รอตรวจ</t>
        </is>
      </c>
      <c r="P83" s="15" t="inlineStr"/>
      <c r="Q83" s="16" t="inlineStr">
        <is>
          <t>Pantip</t>
        </is>
      </c>
      <c r="R83" s="12" t="inlineStr"/>
      <c r="S83" s="12" t="inlineStr">
        <is>
          <t>ไม่</t>
        </is>
      </c>
      <c r="T83" s="12" t="n">
        <v>1</v>
      </c>
      <c r="U83" s="12" t="n">
        <v>1.5</v>
      </c>
    </row>
    <row r="84" ht="409" customHeight="1">
      <c r="A84" s="12" t="inlineStr">
        <is>
          <t>TH49-r1</t>
        </is>
      </c>
      <c r="B84" s="12" t="n">
        <v>1</v>
      </c>
      <c r="C84" s="12" t="inlineStr">
        <is>
          <t>กินแป้งเท่าไหร่ดีสำหรับคนอยากลดความอ้วน</t>
        </is>
      </c>
      <c r="D84" s="12" t="inlineStr">
        <is>
          <t>ไม่มีตัวเลขเดียว ขึ้นกับพลังงานรวมที่ขาดดุล; ตั้งโปรตีนและไขมันก่อน คาร์บเป็นส่วนที่เหลือ (เช่น ~2–5 g/kg สำหรับคนออกกำลังกาย) เน้นคาร์บเชิงซ้อน/ใยอาหาร</t>
        </is>
      </c>
      <c r="E84" s="12" t="inlineStr">
        <is>
          <t>บอกว่าต้องตัดแป้งทั้งหมด</t>
        </is>
      </c>
      <c r="F84" s="12" t="inlineStr">
        <is>
          <t>เป้าหมายที่คำนวณจากข้อมูลที่ใช้ในห้องนี้ครับ
- เป้าหมายที่ใช้คำนวณ: ลดไขมัน (cut)
- พลังงานเป้าหมาย: 2036 กิโลแคลอรี/วัน
- โปรตีน: 130 กรัม/วัน
- ไขมัน: 58 กรัม/วัน
- คาร์โบไฮเดรต: 247 กรัม/วัน
### วิธีคำนวณของระบบ
- BMR ใช้สมการ Mifflin-St Jeor: 10 × 65 + 6.25 × 170 − 5 × 25 + 5 ≈ 1592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2468 กิโลแคลอรี/วัน (ระดับที่เลือก: ออกกำลังกายปานกลาง 3-5 วัน/สัปดาห์)
- พลังงานเป้าหมาย = TDEE × (1 + (-17.5 ÷ 100)) ≈ 2036 กิโลแคลอรี/วัน ระบบเลือกค่ากลางของช่วงปรับพลังงาน -20 ถึง -15% สำหรับเป้าหมายนี้
- โปรตีน = 65 × 2 ≈ 130 กรัม/วัน ระบบเลือกค่ากลางของช่วง 1.8–2.2 กรัมต่อน้ำหนักตัว 1 กิโลกรัมต่อวัน
- ค่าสูงกว่าระหว่างไขมันต่อน้ำหนักกับ floor พลังงาน: max(65 × 0.9, 2036.4094 × 0.20 ÷ 9) ≈ 58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(2036.4094 − 4 × 130 − 9 × 58.5) ÷ 4) ≈ 247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84" s="13" t="inlineStr">
        <is>
          <t>ผ่าน</t>
        </is>
      </c>
      <c r="H84" s="12" t="inlineStr"/>
      <c r="I84" s="12" t="inlineStr"/>
      <c r="J84" s="12" t="inlineStr"/>
      <c r="K84" s="12" t="inlineStr">
        <is>
          <t>เป้าลดไขมันจากโปรไฟล์ตัวอย่าง คาร์บ 247 g จากพลังงานที่เหลือพร้อมสูตร ไม่บอกให้ตัดแป้ง</t>
        </is>
      </c>
      <c r="L84" s="14" t="inlineStr">
        <is>
          <t>ผ่าน</t>
        </is>
      </c>
      <c r="M84" s="12" t="inlineStr"/>
      <c r="N84" s="15" t="inlineStr">
        <is>
          <t>รอตรวจ</t>
        </is>
      </c>
      <c r="O84" s="15" t="inlineStr">
        <is>
          <t>รอตรวจ</t>
        </is>
      </c>
      <c r="P84" s="15" t="inlineStr"/>
      <c r="Q84" s="16" t="inlineStr">
        <is>
          <t>Pantip</t>
        </is>
      </c>
      <c r="R84" s="12" t="inlineStr"/>
      <c r="S84" s="12" t="inlineStr">
        <is>
          <t>ใช่</t>
        </is>
      </c>
      <c r="T84" s="12" t="n">
        <v>1</v>
      </c>
      <c r="U84" s="12" t="n">
        <v>1.1</v>
      </c>
    </row>
    <row r="85" ht="149" customHeight="1">
      <c r="A85" s="12" t="inlineStr">
        <is>
          <t>TH49-r2</t>
        </is>
      </c>
      <c r="B85" s="12" t="n">
        <v>2</v>
      </c>
      <c r="C85" s="12" t="inlineStr">
        <is>
          <t>กินแป้งเท่าไหร่ดีสำหรับคนอยากลดความอ้วน</t>
        </is>
      </c>
      <c r="D85" s="12" t="inlineStr">
        <is>
          <t>ไม่มีตัวเลขเดียว ขึ้นกับพลังงานรวมที่ขาดดุล; ตั้งโปรตีนและไขมันก่อน คาร์บเป็นส่วนที่เหลือ (เช่น ~2–5 g/kg สำหรับคนออกกำลังกาย) เน้นคาร์บเชิงซ้อน/ใยอาหาร</t>
        </is>
      </c>
      <c r="E85" s="12" t="inlineStr">
        <is>
          <t>บอกว่าต้องตัดแป้งทั้งหมด</t>
        </is>
      </c>
      <c r="F85" s="12" t="inlineStr">
        <is>
          <t>สำหรับการลดไขมัน คุณสามารถกำหนดปริมาณคาร์โบไฮเดรต (แป้ง) ได้โดยดูจากพลังงานที่เหลือหลังจากจัดสรรโปรตีนและไขมันที่เหมาะสมแล้ว [S3] 
เนื่องจากองค์การอาหารและยาหรือองค์กรกีฬาต่าง ๆ ไม่มีตัวเลขบังคับตายตัวสำหรับคาร์โบไฮเดรตในการลดน้ำหนักโดยตรง ตัวอย่างแนวทางสำหรับนักกีฬาและผู้ฝึกเวทเทรนนิ่งนอกฤดูแข่งจาก Iraki เสนอให้มีคาร์โบไฮเดรตอย่างน้อยประมาณ 3-5 กรัมต่อน้ำหนักตัว 1 กิโลกรัมต่อวัน ทั้งนี้ต้องปรับเปลี่ยนให้สอดคล้องกับพลังงานรวมทั้งหมดในแผนการลดไขมัน (Cut) และความเข้มข้นของการฝึกซ้อมของคุณ [S3]
นอกจากนี้ รูปแบบการกินอาหารที่มีสัดส่วนคาร์โบไฮเดรตต่างกัน เช่น คาร์โบไฮเดรตต่ำหรือคีโต ไม่ได้ให้ข้อได้เปรียบที่แตกต่างกันอย่างมีนัยสำคัญต่อการลดไขมัน หากควบคุมพลังงานรวมและปริมาณโปรตีนให้เท่ากัน [S3] คุณจึงสามารถเลือกรูปแบบอาหารและแหล่งคาร์โบไฮเดรตที่เหมาะกับวิถีชีวิตและความชอบของคุณได้ตามความเหมาะสม [S3]</t>
        </is>
      </c>
      <c r="G85" s="13" t="inlineStr">
        <is>
          <t>ผ่าน</t>
        </is>
      </c>
      <c r="H85" s="12" t="inlineStr"/>
      <c r="I85" s="12" t="inlineStr"/>
      <c r="J85" s="12" t="inlineStr"/>
      <c r="K85" s="12" t="inlineStr">
        <is>
          <t>คาร์บจากพลังงานที่เหลือหลังโปรตีนและไขมัน อย่างน้อย 3-5 g/kg ตามแนวทาง คาร์บต่ำไม่ได้ลดไขมันดีกว่า ไม่บอกให้ตัดแป้ง</t>
        </is>
      </c>
      <c r="L85" s="18" t="inlineStr">
        <is>
          <t>ไม่ผ่าน</t>
        </is>
      </c>
      <c r="M85" s="12" t="inlineStr">
        <is>
          <t>ตัวตรวจปัดตกทั้งคำตอบ</t>
        </is>
      </c>
      <c r="N85" s="15" t="inlineStr">
        <is>
          <t>รอตรวจ</t>
        </is>
      </c>
      <c r="O85" s="15" t="inlineStr">
        <is>
          <t>รอตรวจ</t>
        </is>
      </c>
      <c r="P85" s="15" t="inlineStr"/>
      <c r="Q85" s="16" t="inlineStr">
        <is>
          <t>Pantip</t>
        </is>
      </c>
      <c r="R85" s="12" t="inlineStr">
        <is>
          <t>S3:energy-balance-cut-bulk</t>
        </is>
      </c>
      <c r="S85" s="12" t="inlineStr">
        <is>
          <t>ใช่</t>
        </is>
      </c>
      <c r="T85" s="12" t="n">
        <v>5</v>
      </c>
      <c r="U85" s="12" t="n">
        <v>10.5</v>
      </c>
    </row>
    <row r="86" ht="188" customHeight="1">
      <c r="A86" s="12" t="inlineStr">
        <is>
          <t>TH49-r3</t>
        </is>
      </c>
      <c r="B86" s="12" t="n">
        <v>3</v>
      </c>
      <c r="C86" s="12" t="inlineStr">
        <is>
          <t>กินแป้งเท่าไหร่ดีสำหรับคนอยากลดความอ้วน</t>
        </is>
      </c>
      <c r="D86" s="12" t="inlineStr">
        <is>
          <t>ไม่มีตัวเลขเดียว ขึ้นกับพลังงานรวมที่ขาดดุล; ตั้งโปรตีนและไขมันก่อน คาร์บเป็นส่วนที่เหลือ (เช่น ~2–5 g/kg สำหรับคนออกกำลังกาย) เน้นคาร์บเชิงซ้อน/ใยอาหาร</t>
        </is>
      </c>
      <c r="E86" s="12" t="inlineStr">
        <is>
          <t>บอกว่าต้องตัดแป้งทั้งหมด</t>
        </is>
      </c>
      <c r="F86" s="12" t="inlineStr">
        <is>
          <t>สำหรับการลดน้ำหนัก (cut) ผู้ที่ฝึกเวทเทรนนิ่งสามารถจัดสัดส่วนสารอาหารโดยเริ่มจากกำหนดพลังงานและโปรตีนให้เหมาะสม จากนั้นจึงจัดสรรพลังงานส่วนที่เหลือเป็นคาร์โบไฮเดรตและไขมันตามความเหมาะสมของแต่ละบุคคล [S3] 
แนวทางการจัดการคาร์โบไฮเดรตและสารอาหารมีดังนี้ครับ:
- **โปรตีน:** สมาคมโภชนาการการกีฬานานาชาติ (ISSN) แนะนำปริมาณโปรตีนรวม 1.4-2.0 กรัม/กก.น้ำหนักตัว/วันสำหรับคนสุขภาพดีที่ออกกำลังกาย [S2] และปรับตามการฝึก พลังงาน และบุคคล [S2]
- **ไขมันและคาร์โบไฮเดรต:** ตัวอย่างแนวทางของ Iraki และคณะ (2019) สำหรับนักเพาะกายระบุว่าสามารถกำหนดไขมัน 0.5-1.5 กรัม/กก./วัน และจัดพลังงานที่เหลือเป็นคาร์โบไฮเดรต โดยมีคำแนะนำให้มีคาร์โบไฮเดรตอย่างน้อยประมาณ 3-5 กรัม/กก./วัน ทั้งนี้ต้องพิจารณารวมให้สอดคล้องกับพลังงานรวมและการฝึกของแต่ละบุคคล ไม่ควรนำช่วงดังกล่าวไปใช้เป็นสูตรตายตัวสำหรับทุกคนหรือในช่วงลดน้ำหนักโดยอัตโนมัติ [S3]
- **ความหลากหลายของรูปแบบอาหาร:** งานทบทวนวรรณกรรมระบุว่ารูปแบบอาหารหลายแบบสามารถปรับองค์ประกอบร่างกายได้หากจัดพลังงานและโปรตีนเหมาะสม โดยไม่พบข้อได้เปรียบด้านการลดไขมันที่มีความหมายทางคลินิกของอาหารคาร์โบไฮเดรตต่ำหรือคีโตในการทดลองควบคุมที่พลังงานและโปรตีนเท่ากัน คุณจึงสามารถเลือกรูปแบบอาหารที่สอดคล้องกับบริบทและความต้องการของตนเองได้ [S3]</t>
        </is>
      </c>
      <c r="G86" s="13" t="inlineStr">
        <is>
          <t>ผ่าน</t>
        </is>
      </c>
      <c r="H86" s="12" t="inlineStr"/>
      <c r="I86" s="12" t="inlineStr"/>
      <c r="J86" s="12" t="inlineStr"/>
      <c r="K86" s="12" t="inlineStr">
        <is>
          <t>จัดโปรตีนและไขมันก่อน คาร์บเป็นพลังงานที่เหลือ อย่างน้อย 3-5 g/kg ตามแนวทาง และคาร์บต่ำไม่ได้ลดไขมันดีกว่า</t>
        </is>
      </c>
      <c r="L86" s="18" t="inlineStr">
        <is>
          <t>ไม่ผ่าน</t>
        </is>
      </c>
      <c r="M86" s="12" t="inlineStr">
        <is>
          <t>ขาดประเด็นสำคัญ</t>
        </is>
      </c>
      <c r="N86" s="15" t="inlineStr">
        <is>
          <t>รอตรวจ</t>
        </is>
      </c>
      <c r="O86" s="15" t="inlineStr">
        <is>
          <t>รอตรวจ</t>
        </is>
      </c>
      <c r="P86" s="15" t="inlineStr"/>
      <c r="Q86" s="16" t="inlineStr">
        <is>
          <t>Pantip</t>
        </is>
      </c>
      <c r="R86" s="12" t="inlineStr">
        <is>
          <t>S2:protein-requirement; S3:energy-balance-cut-bulk</t>
        </is>
      </c>
      <c r="S86" s="12" t="inlineStr">
        <is>
          <t>ใช่</t>
        </is>
      </c>
      <c r="T86" s="12" t="n">
        <v>9</v>
      </c>
      <c r="U86" s="12" t="n">
        <v>11.8</v>
      </c>
    </row>
    <row r="87" ht="110" customHeight="1">
      <c r="A87" s="12" t="inlineStr">
        <is>
          <t>TH50-r1</t>
        </is>
      </c>
      <c r="B87" s="12" t="n">
        <v>1</v>
      </c>
      <c r="C87" s="12" t="inlineStr">
        <is>
          <t>Keto diet เหมาะกับการออกกำลังกายแบบไหน</t>
        </is>
      </c>
      <c r="D87" s="12" t="inlineStr">
        <is>
          <t>คีโตอาจลดสมรรถนะการออกกำลังกายความหนักสูง/ที่ใช้ไกลโคเจน รวมถึงเวทปริมาณมาก; อาจพอใช้ได้กับคาร์ดิโอความหนักต่ำ-ปานกลาง; ผลลดไขมันขึ้นกับพลังงานรวม</t>
        </is>
      </c>
      <c r="E87" s="12" t="inlineStr">
        <is>
          <t>บอกว่าคีโตดีที่สุดสำหรับเวท</t>
        </is>
      </c>
      <c r="F87" s="12" t="inlineStr">
        <is>
          <t>อาหารคาร์โบไฮเดรตต่ำหรือคีโต (Keto diet) เป็นรูปแบบอาหารที่สามารถปรับองค์ประกอบร่างกายได้เมื่อจัดพลังงานและโปรตีนเหมาะสม โดยไม่พบข้อได้เปรียบด้านการลดไขมันที่มีความหมายทางคลินิกเมื่อเทียบกับอาหารรูปแบบอื่นที่พลังงานและโปรตีนเท่ากัน [S1] 
สำหรับการออกกำลังกาย:
- รูปแบบอาหารหลายแบบสามารถปรับองค์ประกอบร่างกายได้เมื่อจัดพลังงานและโปรตีนเหมาะสม โดยผลด้านสมรรถภาพกีฬาและการทำตามแผนเป็นอีกประเด็นหนึ่งที่ต้องพิจารณาตามบริบทและความต้องการของผู้ใช้ [S1]
- ข้อมูลอ้างอิงระบุว่าผลการทดลองไม่ได้พบข้อได้เปรียบด้านการลดไขมันที่มีความหมายทางคลินิกของอาหารคาร์โบไฮเดรตต่ำหรือคีโตเมื่อควบคุมพลังงานและโปรตีนให้เท่ากัน [S1]</t>
        </is>
      </c>
      <c r="G87" s="19" t="inlineStr">
        <is>
          <t>ไม่ผ่าน</t>
        </is>
      </c>
      <c r="H87" s="12" t="inlineStr">
        <is>
          <t>ขาดประเด็นสำคัญ</t>
        </is>
      </c>
      <c r="I87" s="20" t="inlineStr">
        <is>
          <t>ข้อบกพร่องระบบ</t>
        </is>
      </c>
      <c r="J87" s="12" t="inlineStr">
        <is>
          <t>ไม่ตอบว่าคีโตเหมาะกับการออกกำลังกายแบบไหน ทั้งที่การ์ดมีข้อมูล (r2, r3 ตอบได้)</t>
        </is>
      </c>
      <c r="K87" s="12" t="inlineStr">
        <is>
          <t>บอกว่าคีโตไม่ได้ลดไขมันดีกว่า แต่ไม่ตอบว่าเหมาะกับการออกกำลังกายแบบไหน</t>
        </is>
      </c>
      <c r="L87" s="18" t="inlineStr">
        <is>
          <t>ไม่ผ่าน</t>
        </is>
      </c>
      <c r="M87" s="12" t="inlineStr">
        <is>
          <t>ไม่ได้ตอบคำถาม</t>
        </is>
      </c>
      <c r="N87" s="15" t="inlineStr">
        <is>
          <t>รอตรวจ</t>
        </is>
      </c>
      <c r="O87" s="15" t="inlineStr">
        <is>
          <t>รอตรวจ</t>
        </is>
      </c>
      <c r="P87" s="15" t="inlineStr"/>
      <c r="Q87" s="16" t="inlineStr">
        <is>
          <t>Pantip</t>
        </is>
      </c>
      <c r="R87" s="12" t="inlineStr">
        <is>
          <t>S1:energy-balance-cut-bulk</t>
        </is>
      </c>
      <c r="S87" s="12" t="inlineStr">
        <is>
          <t>ใช่</t>
        </is>
      </c>
      <c r="T87" s="12" t="n">
        <v>7</v>
      </c>
      <c r="U87" s="12" t="n">
        <v>8.800000000000001</v>
      </c>
    </row>
    <row r="88" ht="97" customHeight="1">
      <c r="A88" s="12" t="inlineStr">
        <is>
          <t>TH50-r2</t>
        </is>
      </c>
      <c r="B88" s="12" t="n">
        <v>2</v>
      </c>
      <c r="C88" s="12" t="inlineStr">
        <is>
          <t>Keto diet เหมาะกับการออกกำลังกายแบบไหน</t>
        </is>
      </c>
      <c r="D88" s="12" t="inlineStr">
        <is>
          <t>คีโตอาจลดสมรรถนะการออกกำลังกายความหนักสูง/ที่ใช้ไกลโคเจน รวมถึงเวทปริมาณมาก; อาจพอใช้ได้กับคาร์ดิโอความหนักต่ำ-ปานกลาง; ผลลดไขมันขึ้นกับพลังงานรวม</t>
        </is>
      </c>
      <c r="E88" s="12" t="inlineStr">
        <is>
          <t>บอกว่าคีโตดีที่สุดสำหรับเวท</t>
        </is>
      </c>
      <c r="F88" s="12" t="inlineStr">
        <is>
          <t>สำหรับการออกกำลังกายที่ต้องใช้พลังงานสูงอย่างรวดเร็ว เช่น การฝึกเวทเทรนนิ่งหรือกีฬาที่ต้องใช้แรงระเบิดความเร็ว อาหารแบบคีโตอาจไม่ได้ให้ความได้เปรียบด้านสมรรถภาพกีฬา [S1]
สมาคมโภชนาการการกีฬานานาชาติ (ISSN) ระบุว่ารูปแบบอาหารหลายแบบสามารถปรับองค์ประกอบร่างกายได้เมื่อจัดพลังงานและโปรตีนเหมาะสม โดยไม่พบข้อได้เปรียบด้านการลดไขมันที่มีความหมายทางคลินิกของอาหารคาร์โบไฮเดรตต่ำหรือคีโต เมื่อควบคุมพลังงานและโปรตีนให้เท่ากัน แต่ผลด้านสมรรถภาพและการทำตามแผนเป็นอีกประเด็นที่ต้องพิจารณาตามบริบทและความต้องการของคุณ [S1]
ตัดข้อความบางส่วนที่ยังยืนยันกับแหล่งข้อมูลไม่ได้ออกจากคำตอบนี้แล้วครับ</t>
        </is>
      </c>
      <c r="G88" s="13" t="inlineStr">
        <is>
          <t>ผ่าน</t>
        </is>
      </c>
      <c r="H88" s="12" t="inlineStr"/>
      <c r="I88" s="12" t="inlineStr"/>
      <c r="J88" s="12" t="inlineStr"/>
      <c r="K88" s="12" t="inlineStr">
        <is>
          <t>บอกว่าคีโตอาจไม่ได้เปรียบด้านสมรรถภาพในการฝึกเวทหรือกีฬาที่ใช้แรงระเบิด และไม่ได้ลดไขมันดีกว่าเมื่อพลังงานเท่ากัน</t>
        </is>
      </c>
      <c r="L88" s="18" t="inlineStr">
        <is>
          <t>ไม่ผ่าน</t>
        </is>
      </c>
      <c r="M88" s="12" t="inlineStr">
        <is>
          <t>ตัวตรวจปัดตกทั้งคำตอบ</t>
        </is>
      </c>
      <c r="N88" s="15" t="inlineStr">
        <is>
          <t>รอตรวจ</t>
        </is>
      </c>
      <c r="O88" s="15" t="inlineStr">
        <is>
          <t>รอตรวจ</t>
        </is>
      </c>
      <c r="P88" s="15" t="inlineStr"/>
      <c r="Q88" s="16" t="inlineStr">
        <is>
          <t>Pantip</t>
        </is>
      </c>
      <c r="R88" s="12" t="inlineStr">
        <is>
          <t>S1:energy-balance-cut-bulk</t>
        </is>
      </c>
      <c r="S88" s="12" t="inlineStr">
        <is>
          <t>ใช่</t>
        </is>
      </c>
      <c r="T88" s="12" t="n">
        <v>7</v>
      </c>
      <c r="U88" s="12" t="n">
        <v>8.699999999999999</v>
      </c>
    </row>
    <row r="89" ht="110" customHeight="1">
      <c r="A89" s="12" t="inlineStr">
        <is>
          <t>TH50-r3</t>
        </is>
      </c>
      <c r="B89" s="12" t="n">
        <v>3</v>
      </c>
      <c r="C89" s="12" t="inlineStr">
        <is>
          <t>Keto diet เหมาะกับการออกกำลังกายแบบไหน</t>
        </is>
      </c>
      <c r="D89" s="12" t="inlineStr">
        <is>
          <t>คีโตอาจลดสมรรถนะการออกกำลังกายความหนักสูง/ที่ใช้ไกลโคเจน รวมถึงเวทปริมาณมาก; อาจพอใช้ได้กับคาร์ดิโอความหนักต่ำ-ปานกลาง; ผลลดไขมันขึ้นกับพลังงานรวม</t>
        </is>
      </c>
      <c r="E89" s="12" t="inlineStr">
        <is>
          <t>บอกว่าคีโตดีที่สุดสำหรับเวท</t>
        </is>
      </c>
      <c r="F89" s="12" t="inlineStr">
        <is>
          <t>รูปแบบอาหารคาร์โบไฮเดรตต่ำหรือคีโตเจนิไดจ์ มักเหมาะกับการออกกำลังกายที่ใช้พลังงานไม่สูงมากและมีความสม่ำเสมอ เช่น การออกกำลังกายแบบแอโรบิกความเข้มข้นต่ำถึงปานกลาง [S1] 
สำหรับการออกกำลังกายที่เน้นการสร้างกล้ามเนื้อหรือเวทเทรนนิ่ง สมาคมโภชนาการการกีฬานานาชาติ (ISSN) ปี 2017 ระบุว่ารูปแบบอาหารหลายแบบสามารถปรับองค์ประกอบร่างกายได้เมื่อจัดพลังงานและโปรตีนเหมาะสม โดยไม่พบข้อได้เปรียบด้านการลดไขมันที่มีความหมายทางคลินิกของอาหารคาร์โบไฮเดรตต่ำหรือคีโต ในการทดลองควบคุมที่พลังงานและโปรตีนเท่ากัน [S1] ทั้งนี้ ผลด้านสมรรถภาพกีฬาและความสามารถในการทำตามแผนเป็นอีกประเด็นที่ต้องพิจารณา คุณจึงควรเลือกรูปแบบอาหารตามบริบทและความต้องการของตนเอง [S1]</t>
        </is>
      </c>
      <c r="G89" s="13" t="inlineStr">
        <is>
          <t>ผ่าน</t>
        </is>
      </c>
      <c r="H89" s="12" t="inlineStr"/>
      <c r="I89" s="12" t="inlineStr"/>
      <c r="J89" s="12" t="inlineStr"/>
      <c r="K89" s="12" t="inlineStr">
        <is>
          <t>บอกว่าคีโตมักเหมาะกับแอโรบิกความเข้มข้นต่ำถึงปานกลาง และไม่ได้ลดไขมันดีกว่าเมื่อพลังงานเท่ากัน ไม่บอกว่าดีที่สุดสำหรับเวท</t>
        </is>
      </c>
      <c r="L89" s="18" t="inlineStr">
        <is>
          <t>ไม่ผ่าน</t>
        </is>
      </c>
      <c r="M89" s="12" t="inlineStr">
        <is>
          <t>ไม่ได้ตอบคำถาม</t>
        </is>
      </c>
      <c r="N89" s="15" t="inlineStr">
        <is>
          <t>รอตรวจ</t>
        </is>
      </c>
      <c r="O89" s="15" t="inlineStr">
        <is>
          <t>รอตรวจ</t>
        </is>
      </c>
      <c r="P89" s="15" t="inlineStr"/>
      <c r="Q89" s="16" t="inlineStr">
        <is>
          <t>Pantip</t>
        </is>
      </c>
      <c r="R89" s="12" t="inlineStr">
        <is>
          <t>S1:energy-balance-cut-bulk</t>
        </is>
      </c>
      <c r="S89" s="12" t="inlineStr">
        <is>
          <t>ใช่</t>
        </is>
      </c>
      <c r="T89" s="12" t="n">
        <v>5</v>
      </c>
      <c r="U89" s="12" t="n">
        <v>6.5</v>
      </c>
    </row>
    <row r="90" ht="357" customHeight="1">
      <c r="A90" s="12" t="inlineStr">
        <is>
          <t>YT01-r1</t>
        </is>
      </c>
      <c r="B90" s="12" t="n">
        <v>1</v>
      </c>
      <c r="C90" s="12" t="inlineStr">
        <is>
          <t>ถ้าผมกิน ขนมปังกับนม เเค่นี้พอมั้ยครับเเต่ออกกำลังกายตอนเย็นทุกวัน น้ำหนัก50+ เป็นคนผอมครับ เเต่อยากให้มีกล้ามเนื้อครับ</t>
        </is>
      </c>
      <c r="D90" s="12" t="inlineStr">
        <is>
          <t>ขนมปังกับนมอย่างเดียวไม่พอสำหรับเพิ่มกล้าม: ต้องพลังงานเกินเล็กน้อย โปรตีน ~1.6–2.2 g/kg (~80–110 g สำหรับ ~50 kg) จากหลายแหล่ง; ยกตัวอย่างอาหาร</t>
        </is>
      </c>
      <c r="E90" s="12" t="inlineStr">
        <is>
          <t>บอกว่าพอแล้ว</t>
        </is>
      </c>
      <c r="F90" s="12" t="inlineStr">
        <is>
          <t>สำหรับเป้าหมายการเพิ่มกล้ามเนื้อ (Bulk) ของคุณ ระบบได้คำนวณพลังงานและสารอาหารเป้าหมายต่อวันไว้ดังนี้ครับ:
- **พลังงานเป้าหมาย:** 2,777 กิโลแคลอรี/วัน (จากพลังงานใช้ 2,468 กิโลแคลอรี/วัน และเพิ่มพลังงานในช่วง Bulk)
- **โปรตีน:** 117 กรัม/วัน
- **คาร์โบไฮเดรต:** 438 กรัม/วัน
- **ไขมัน:** 62 กรัม/วัน *(ปรับขึ้นเพื่อให้ถึงเกณฑ์ขั้นต่ำ 20% ของพลังงานรวมตามกติกาเครื่องคำนวณของโครงการ ไม่ใช่เกณฑ์ขั้นต่ำสากล)*
แนวทางการปฏิบัติเพิ่มเติมมีดังนี้ครับ:
- **อัตราการเพิ่มน้ำหนัก:** สำหรับช่วงเพิ่มกล้ามเนื้อนอกฤดูแข่ง Iraki และคณะ (2019) เสนอให้ตั้งเป้าเพิ่มน้ำหนักประมาณ 0.25-0.5% ต่อสัปดาห์ แล้วปรับตามน้ำหนักและองค์ประกอบร่างกาย [S3]
- **การฝึกซ้อม:** ควบคู่ไปกับการกินอาหารให้เพียงพอ ควรมีการฝึกแรงต้านอย่างสม่ำเสมอ [S5]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0" s="19" t="inlineStr">
        <is>
          <t>ไม่ผ่าน</t>
        </is>
      </c>
      <c r="H90" s="12" t="inlineStr">
        <is>
          <t>ขาดประเด็นสำคัญ</t>
        </is>
      </c>
      <c r="I90" s="20" t="inlineStr">
        <is>
          <t>ข้อบกพร่องระบบ</t>
        </is>
      </c>
      <c r="J90" s="12" t="inlineStr">
        <is>
          <t>ไปเส้นทางอธิบายเป้าหมาย ไม่ตอบว่าขนมปังกับนมไม่พอ (r3 ตอบถูก)</t>
        </is>
      </c>
      <c r="K90" s="12" t="inlineStr">
        <is>
          <t>แสดงเป้าเพิ่มกล้ามพร้อมสูตรและอัตราเพิ่มน้ำหนัก แต่ไม่ได้ตอบว่าขนมปังกับนมอย่างเดียวไม่พอ และไม่ยกตัวอย่างอาหาร</t>
        </is>
      </c>
      <c r="L90" s="18" t="inlineStr">
        <is>
          <t>ไม่ผ่าน</t>
        </is>
      </c>
      <c r="M90" s="12" t="inlineStr">
        <is>
          <t>ตัวตรวจปัดตกทั้งคำตอบ</t>
        </is>
      </c>
      <c r="N90" s="15" t="inlineStr">
        <is>
          <t>รอตรวจ</t>
        </is>
      </c>
      <c r="O90" s="15" t="inlineStr">
        <is>
          <t>รอตรวจ</t>
        </is>
      </c>
      <c r="P90" s="15" t="inlineStr"/>
      <c r="Q90" s="16" t="inlineStr">
        <is>
          <t>YouTube comment</t>
        </is>
      </c>
      <c r="R90" s="12" t="inlineStr">
        <is>
          <t>S3:energy-balance-cut-bulk; S5:protein-requirement</t>
        </is>
      </c>
      <c r="S90" s="12" t="inlineStr">
        <is>
          <t>ใช่</t>
        </is>
      </c>
      <c r="T90" s="12" t="n">
        <v>11</v>
      </c>
      <c r="U90" s="12" t="n">
        <v>15.8</v>
      </c>
    </row>
    <row r="91" ht="344" customHeight="1">
      <c r="A91" s="12" t="inlineStr">
        <is>
          <t>YT01-r2</t>
        </is>
      </c>
      <c r="B91" s="12" t="n">
        <v>2</v>
      </c>
      <c r="C91" s="12" t="inlineStr">
        <is>
          <t>ถ้าผมกิน ขนมปังกับนม เเค่นี้พอมั้ยครับเเต่ออกกำลังกายตอนเย็นทุกวัน น้ำหนัก50+ เป็นคนผอมครับ เเต่อยากให้มีกล้ามเนื้อครับ</t>
        </is>
      </c>
      <c r="D91" s="12" t="inlineStr">
        <is>
          <t>ขนมปังกับนมอย่างเดียวไม่พอสำหรับเพิ่มกล้าม: ต้องพลังงานเกินเล็กน้อย โปรตีน ~1.6–2.2 g/kg (~80–110 g สำหรับ ~50 kg) จากหลายแหล่ง; ยกตัวอย่างอาหาร</t>
        </is>
      </c>
      <c r="E91" s="12" t="inlineStr">
        <is>
          <t>บอกว่าพอแล้ว</t>
        </is>
      </c>
      <c r="F91" s="12" t="inlineStr">
        <is>
          <t>สำหรับเป้าหมายการเพิ่มกล้ามเนื้อของคุณ ระบบได้คำนวณพลังงานและสารอาหารที่เหมาะสมไว้ดังนี้ครับ:
- **พลังงานเป้าหมาย:** 2,777 กิโลแคลอรี/วัน
- **โปรตีน:** 117 กรัม/วัน
- **คาร์โบไฮเดรต:** 438 กรัม/วัน
- **ไขมัน:** 62 กรัม/วัน *(ปรับขึ้นเพื่อให้ถึงขั้นต่ำ 20% ของพลังงานรวมตามกติกาเครื่องคำนวณของโครงการ)*
**คำแนะนำเพิ่มเติม:**
- ควรรับประทานอาหารให้มีความหลากหลายและมีปริมาณพลังงานรวมถึงโปรตีนให้ถึงเป้าหมายในแต่ละวัน [S4, S5]
- สำหรับการเพิ่มกล้ามเนื้อในช่วงนอกฤดูแข่ง Iraki และคณะ (2019) เสนอให้ผู้ฝึกเริ่มจากพลังงานที่เกินดุล และตั้งเป้าเพิ่มน้ำหนักตัวประมาณ 0.25-0.5% ต่อสัปดาห์ แล้วปรับตามองค์ประกอบร่างกาย [S3]
ตัดข้อความบางส่วนที่ยังยืนยันกับแหล่งข้อมูลไม่ได้ออกจากคำตอบนี้แล้วครับ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1" s="19" t="inlineStr">
        <is>
          <t>ไม่ผ่าน</t>
        </is>
      </c>
      <c r="H91" s="12" t="inlineStr">
        <is>
          <t>ขาดประเด็นสำคัญ</t>
        </is>
      </c>
      <c r="I91" s="20" t="inlineStr">
        <is>
          <t>ข้อบกพร่องระบบ</t>
        </is>
      </c>
      <c r="J91" s="12" t="inlineStr">
        <is>
          <t>ไปเส้นทางอธิบายเป้าหมาย ไม่ตอบว่าขนมปังกับนมไม่พอ (r3 ตอบถูก)</t>
        </is>
      </c>
      <c r="K91" s="12" t="inlineStr">
        <is>
          <t>แสดงเป้าเพิ่มกล้ามและให้กินหลากหลาย แต่ไม่ได้ตอบว่าขนมปังกับนมอย่างเดียวไม่พอ และไม่ยกตัวอย่างอาหาร</t>
        </is>
      </c>
      <c r="L91" s="18" t="inlineStr">
        <is>
          <t>ไม่ผ่าน</t>
        </is>
      </c>
      <c r="M91" s="12" t="inlineStr">
        <is>
          <t>ตัวตรวจปัดตกทั้งคำตอบ</t>
        </is>
      </c>
      <c r="N91" s="15" t="inlineStr">
        <is>
          <t>รอตรวจ</t>
        </is>
      </c>
      <c r="O91" s="15" t="inlineStr">
        <is>
          <t>รอตรวจ</t>
        </is>
      </c>
      <c r="P91" s="15" t="inlineStr"/>
      <c r="Q91" s="16" t="inlineStr">
        <is>
          <t>YouTube comment</t>
        </is>
      </c>
      <c r="R91" s="12" t="inlineStr">
        <is>
          <t>S3:energy-balance-cut-bulk; S4:plant-protein; S5:protein-requirement</t>
        </is>
      </c>
      <c r="S91" s="12" t="inlineStr">
        <is>
          <t>ใช่</t>
        </is>
      </c>
      <c r="T91" s="12" t="n">
        <v>10</v>
      </c>
      <c r="U91" s="12" t="n">
        <v>12.3</v>
      </c>
    </row>
    <row r="92" ht="409" customHeight="1">
      <c r="A92" s="12" t="inlineStr">
        <is>
          <t>YT01-r3</t>
        </is>
      </c>
      <c r="B92" s="12" t="n">
        <v>3</v>
      </c>
      <c r="C92" s="12" t="inlineStr">
        <is>
          <t>ถ้าผมกิน ขนมปังกับนม เเค่นี้พอมั้ยครับเเต่ออกกำลังกายตอนเย็นทุกวัน น้ำหนัก50+ เป็นคนผอมครับ เเต่อยากให้มีกล้ามเนื้อครับ</t>
        </is>
      </c>
      <c r="D92" s="12" t="inlineStr">
        <is>
          <t>ขนมปังกับนมอย่างเดียวไม่พอสำหรับเพิ่มกล้าม: ต้องพลังงานเกินเล็กน้อย โปรตีน ~1.6–2.2 g/kg (~80–110 g สำหรับ ~50 kg) จากหลายแหล่ง; ยกตัวอย่างอาหาร</t>
        </is>
      </c>
      <c r="E92" s="12" t="inlineStr">
        <is>
          <t>บอกว่าพอแล้ว</t>
        </is>
      </c>
      <c r="F92" s="12" t="inlineStr">
        <is>
          <t>การกินแค่ขนมปังกับนมอย่างเดียวไม่เพียงพอต่อการสร้างกล้ามเนื้อครับ แม้ว่าคุณจะออกกำลังกายสม่ำเสมอและต้องการเพิ่มน้ำหนัก เนื่องจากร่างกายจำเป็นต้องได้รับพลังงานและสารอาหารที่หลากหลาย โดยเฉพาะโปรตีนในปริมาณที่เพียงพอและพลังงานรวมต่อวันสูงกว่าที่ใช้ไป เพื่อนำไปใช้สนับสนุนการสร้างหรือรักษามวลกล้ามเนื้อ [S5]
เป้าหมายโภชนาการที่เหมาะสมสำหรับคุณ:
- **พลังงานเป้าหมาย:** 2,777 กิโลแคลอรี/วัน (สำหรับการเพิ่มกล้ามเนื้อ)
- **โปรตีน:** 117 กรัม/วัน 
- **คาร์โบไฮเดรต:** 438 กรัม/วัน
- **ไขมัน:** 62 กรัม/วัน *(ปรับขึ้นเพื่อให้ถึงขั้นต่ำ 20% ของพลังงานรวมตามกติกาเครื่องคำนวณ)*
คำแนะนำเพิ่มเติมในการจัดโภชนาการ:
- **เพิ่มความหลากหลายของอาหาร:** ควรทานอาหารให้ครบ 5 หมู่ โดยเน้นแหล่งโปรตีนคุณภาพดี เช่น เนื้อสัตว์ ไข่ ปลา นม หรือถั่ว ร่วมกับคาร์โบไฮเดรตเชิงซ้อน เพื่อให้ได้พลังงานและสารอาหารครบถ้วน
- **กระจายมื้ออาหาร:** แบ่งทานโปรตีนคุณภาพดีประมาณ 20-40 กรัมต่อมื้อ ทุกประมาณ 3-4 ชั่วโมง [S1]
- **อัตราการเพิ่มน้ำหนัก:** สำหรับช่วงเพิ่มกล้ามเนื้อ นอกจากการคุมโปรตีนให้ถึงแล้ว ควรตั้งเป้าเพิ่มน้ำหนักแบบค่อยเป็นค่อยไปประมาณ 0.25-0.5% ต่อสัปดาห์ แล้วปรับตามองค์ประกอบร่างกาย [S3]
### สูตรที่ใช้กับเป้าหมายนี้
- [Mifflin-St Jeor](https://pubmed.ncbi.nlm.nih.gov/2305711/): 10 × 65 + 6.25 × 170 − 5 × 25 + (5) ≈ 1592 kcal/วัน — ไม่มีข้อมูลเปอร์เซ็นต์ไขมัน จึงใช้สมการที่อาศัยเพศ อายุ น้ำหนัก และส่วนสูง
- BMR × ตัวคูณกิจกรรม: 1592.5 × 1.55 ≈ 2468 kcal/วัน — ตัวคูณกิจกรรมตามระดับที่เลือก เป็นค่าประมาณตามกติกาเครื่องคำนวณ ไม่ใช่ผลวัดการใช้พลังงาน
- ปรับพลังงานตามเป้าหมายที่อนุญาต: 2468.375 × (1 + 0.125) ≈ 2777 kcal/วัน — กติกาโครงการ: ใช้ค่ากลางช่วงปรับพลังงาน และใช้เป้าหมายที่ผ่านการคัดกรองแล้ว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- ค่าสูงกว่าระหว่างไขมันต่อน้ำหนักกับ floor พลังงาน: max(65 × 0.9, 2776.9219 × 0.20 ÷ 9) ≈ 62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(2776.9219 − 4 × 117 − 9 × 61.7094) ÷ 4) ≈ 438 กรัม/วัน — ใช้ 4 kcal/กรัมโปรตีนและคาร์บ และ 9 kcal/กรัมไขมัน คำนวณด้วยค่าก่อนปัด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2" s="13" t="inlineStr">
        <is>
          <t>ผ่าน</t>
        </is>
      </c>
      <c r="H92" s="12" t="inlineStr"/>
      <c r="I92" s="12" t="inlineStr"/>
      <c r="J92" s="12" t="inlineStr"/>
      <c r="K92" s="12" t="inlineStr">
        <is>
          <t>ตอบตรงว่าขนมปังกับนมอย่างเดียวไม่พอ ให้เป้าเพิ่มกล้าม แหล่งโปรตีนหลากหลาย (เนื้อสัตว์ ไข่ ปลา นม ถั่ว) กระจายมื้อ และอัตราเพิ่มน้ำหนัก</t>
        </is>
      </c>
      <c r="L92" s="18" t="inlineStr">
        <is>
          <t>ไม่ผ่าน</t>
        </is>
      </c>
      <c r="M92" s="12" t="inlineStr">
        <is>
          <t>ขาดประเด็นสำคัญ</t>
        </is>
      </c>
      <c r="N92" s="15" t="inlineStr">
        <is>
          <t>รอตรวจ</t>
        </is>
      </c>
      <c r="O92" s="15" t="inlineStr">
        <is>
          <t>รอตรวจ</t>
        </is>
      </c>
      <c r="P92" s="15" t="inlineStr"/>
      <c r="Q92" s="16" t="inlineStr">
        <is>
          <t>YouTube comment</t>
        </is>
      </c>
      <c r="R92" s="12" t="inlineStr">
        <is>
          <t>S1:nutrient-timing; S3:energy-balance-cut-bulk; S5:protein-requirement</t>
        </is>
      </c>
      <c r="S92" s="12" t="inlineStr">
        <is>
          <t>ใช่</t>
        </is>
      </c>
      <c r="T92" s="12" t="n">
        <v>8</v>
      </c>
      <c r="U92" s="12" t="n">
        <v>10.5</v>
      </c>
    </row>
    <row r="93" ht="136" customHeight="1">
      <c r="A93" s="12" t="inlineStr">
        <is>
          <t>YT02-r1</t>
        </is>
      </c>
      <c r="B93" s="12" t="n">
        <v>1</v>
      </c>
      <c r="C93" s="12" t="inlineStr">
        <is>
          <t>ออกกำลังกายวันเว้นวัน วันไหนไม่ได้ออกกำลังกาย ก็ต้องกินโปรตีนให้ได้ 60กรัมต่อวันเกมือนเดิมใช้ไหมคะ?</t>
        </is>
      </c>
      <c r="D93" s="12" t="inlineStr">
        <is>
          <t>ใช่ ควรได้โปรตีนรวมใกล้เคียงกันทุกวันรวมวันพัก (ตัวเลข 60 g ขึ้นกับน้ำหนัก—อาจเพิ่มคำแนะนำ g/kg)</t>
        </is>
      </c>
      <c r="E93" s="12" t="inlineStr">
        <is>
          <t>บอกว่าวันพักไม่ต้องกิน</t>
        </is>
      </c>
      <c r="F93" s="12" t="inlineStr">
        <is>
          <t>ในวันที่ไม่ได้ออกกำลังกาย คุณยังควรได้รับโปรตีนรวมตลอดทั้งวันให้ใกล้เคียงกับเป้าหมายเดิมที่คำนวณไว้คือ 117 กรัมต่อวัน ไม่ควรลดลงเหลือ 60 กรัม เนื่องจากร่างกายยังต้องการโปรตีนไปใช้ซ่อมแซมกล้ามเนื้อและรักษามวลกล้ามเนื้ออย่างต่อเนื่อง  
สมาคมโภชนาการการกีฬานานาชาติ (ISSN) แนะนำให้ผู้ที่ฝึกเวทเทรนนิ่งได้รับโปรตีนรวมต่อวันเพื่อให้สอดคล้องกับการฝึกและพลังงาน [S1] โดยการกระจายโปรตีนให้เพียงพอในแต่ละวันมีความสำคัญมากกว่าการจำกัดเฉพาะวันฝึกครับ [S4]
### สูตรที่ใช้กับเป้าหมายนี้
- [น้ำหนักตัว × โปรตีนต่อกิโลกรัม](https://doi.org/10.1186/s12970-017-0177-8): 65 × 1.8 ≈ 117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3" s="13" t="inlineStr">
        <is>
          <t>ผ่าน</t>
        </is>
      </c>
      <c r="H93" s="12" t="inlineStr"/>
      <c r="I93" s="12" t="inlineStr"/>
      <c r="J93" s="12" t="inlineStr"/>
      <c r="K93" s="12" t="inlineStr">
        <is>
          <t>วันพักยังควรได้โปรตีนใกล้เป้าเดิม 117 g ไม่ลดเหลือ 60 g</t>
        </is>
      </c>
      <c r="L93" s="14" t="inlineStr">
        <is>
          <t>ผ่าน</t>
        </is>
      </c>
      <c r="M93" s="12" t="inlineStr"/>
      <c r="N93" s="15" t="inlineStr">
        <is>
          <t>รอตรวจ</t>
        </is>
      </c>
      <c r="O93" s="15" t="inlineStr">
        <is>
          <t>รอตรวจ</t>
        </is>
      </c>
      <c r="P93" s="15" t="inlineStr"/>
      <c r="Q93" s="16" t="inlineStr">
        <is>
          <t>YouTube comment</t>
        </is>
      </c>
      <c r="R93" s="12" t="inlineStr">
        <is>
          <t>S1:protein-requirement; S4:nutrient-timing</t>
        </is>
      </c>
      <c r="S93" s="12" t="inlineStr">
        <is>
          <t>ไม่</t>
        </is>
      </c>
      <c r="T93" s="12" t="n">
        <v>4</v>
      </c>
      <c r="U93" s="12" t="n">
        <v>5.2</v>
      </c>
    </row>
    <row r="94" ht="188" customHeight="1">
      <c r="A94" s="12" t="inlineStr">
        <is>
          <t>YT03-r1</t>
        </is>
      </c>
      <c r="B94" s="12" t="n">
        <v>1</v>
      </c>
      <c r="C94" s="12" t="inlineStr">
        <is>
          <t>ผมขอถามหน่อยครับ ผมมีน้ำหนัก 67สูง180แล้วผมต้องกินโปรตีนประมาณเท่าไหร่ครับใน1วัน</t>
        </is>
      </c>
      <c r="D94" s="12" t="inlineStr">
        <is>
          <t>ถ้าเล่นเวท ~1.6–2.2 g/kg × 67 ≈ 107–147 g/วัน (หรือ ~1.6 g/kg ≈ 107 g); ถ้าไม่ได้ออกกำลังกาย ~0.8–1.0 g/kg ≈ 54–67 g; ระบุสมมติฐานเพราะผู้ถามไม่ได้บอกการฝึก</t>
        </is>
      </c>
      <c r="E94" s="12" t="inlineStr">
        <is>
          <t>คำนวณผิด/ใช้ส่วนสูงคูณ</t>
        </is>
      </c>
      <c r="F94" s="12" t="inlineStr">
        <is>
          <t>คุณต้องการโปรตีนประมาณ 121 กรัมต่อวันครับ ซึ่งเป็นเป้าหมายที่คำนวณจากน้ำหนักตัว 67 กิโลกรัมของคุณในปัจจุบันครับ
สำหรับแนวทางการรับประทานโปรตีนเพื่อสนับสนุนการฝึกเวทเทรนนิ่งมีประเด็นหลักดังนี้ครับ:
- สมาคมโภชนาการการกีฬานานาชาติ (ISSN) แนะนำช่วงปริมาณโปรตีนรวมสำหรับคนสุขภาพดีที่ออกกำลังกายไว้ที่ 1.4-2.0 กรัมต่อน้ำหนักตัว 1 กิโลกรัมต่อวัน โดยปรับเปลี่ยนได้ตามการฝึกและพลังงาน [S3]
- คุณสามารถกระจายโปรตีนคุณภาพดีในแต่ละมื้อประมาณ 20-40 กรัม หรือคิดเป็น 0.25-0.40 กรัมต่อน้ำหนักตัว 1 กิโลกรัมต่อมื้อ โดยเว้นระยะห่างประมาณ 3-4 ชั่วโมง [S1] 
- การเลือกแหล่งโปรตีนสามารถมาจากทั้งอาหารหลักหรือโปรตีนเสริมได้ตามความสะดวกและข้อจำกัดของคุณ [S2] โดยควรสะสมปริมาณโปรตีนจากทุกมื้อในแต่ละวันให้ครบถ้วนตามเป้าหมายรวม [S5]
### สูตรที่ใช้กับเป้าหมายนี้
- [น้ำหนักตัว × โปรตีนต่อกิโลกรัม](https://doi.org/10.1186/s12970-017-0177-8): 67 × 1.8 ≈ 121 กรัม/วัน — เลือกอัตราตามเป้าหมายด้วยกติกาโครงการ ช่วงหลักฐานทั่วไปไม่ใช่ใบสั่งเฉพาะบุคคล
ใช้ค่าก่อนปัดในการคำนวณ และปัดเฉพาะตัวเลขที่แสดง ผลเป็นค่าประมาณ ไม่ใช่แผนรักษาโรค</t>
        </is>
      </c>
      <c r="G94" s="13" t="inlineStr">
        <is>
          <t>ผ่าน</t>
        </is>
      </c>
      <c r="H94" s="12" t="inlineStr"/>
      <c r="I94" s="12" t="inlineStr"/>
      <c r="J94" s="12" t="inlineStr"/>
      <c r="K94" s="12" t="inlineStr">
        <is>
          <t>ใช้ 67 kg ที่ผู้ถามบอก × 1.8 ≈ 121 g พร้อมช่วง ISSN และการกระจายมื้อ</t>
        </is>
      </c>
      <c r="L94" s="14" t="inlineStr">
        <is>
          <t>ผ่าน</t>
        </is>
      </c>
      <c r="M94" s="12" t="inlineStr"/>
      <c r="N94" s="15" t="inlineStr">
        <is>
          <t>รอตรวจ</t>
        </is>
      </c>
      <c r="O94" s="15" t="inlineStr">
        <is>
          <t>รอตรวจ</t>
        </is>
      </c>
      <c r="P94" s="15" t="inlineStr"/>
      <c r="Q94" s="16" t="inlineStr">
        <is>
          <t>YouTube comment</t>
        </is>
      </c>
      <c r="R94" s="12" t="inlineStr">
        <is>
          <t>S1:nutrient-timing; S2:protein-requirement; S3:protein-requirement; S5:protein-requirement</t>
        </is>
      </c>
      <c r="S94" s="12" t="inlineStr">
        <is>
          <t>ไม่</t>
        </is>
      </c>
      <c r="T94" s="12" t="n">
        <v>5</v>
      </c>
      <c r="U94" s="12" t="n">
        <v>12.3</v>
      </c>
    </row>
    <row r="95" ht="409" customHeight="1">
      <c r="A95" s="12" t="inlineStr">
        <is>
          <t>YT04-r1</t>
        </is>
      </c>
      <c r="B95" s="12" t="n">
        <v>1</v>
      </c>
      <c r="C95" s="12" t="inlineStr">
        <is>
          <t>ผมสับสนมากเลยครับ ขอคำแนะนำสัดส่วนสารอาหารที่ควรได้รับต่อวัน เมื่อต้องการเพิ่มกล้ามเนื้อหน่อยครับ ผมสูง171 หนัก53 ต้องกินยังไงดีครับ
โปรตีน = ×2น้ำหนักตัว
คาร์โบบ้างก็ว่า40-50%ของพลังงานที่รับต่อวัน
ไขมัน = ไม่แน่ใจ แต่ผมตั้งกับตัวเองไว้แค่10% 
มันไม่ครบ100% ของพลังงานที่ได้รับต่อวันอ่ะครับ ควรเพิ่มคาร์โบไฮเดรตหรือไขมันเข้าไปดี</t>
        </is>
      </c>
      <c r="D95" s="12" t="inlineStr">
        <is>
          <t>ตอบประเด็น: ไขมัน 10% ต่ำเกินไป ควร ~20–35% ของพลังงาน; ส่วนที่เหลือเติมด้วยคาร์บ; โปรตีน ~2 g/kg ≈ 106 g; พลังงานต้องเกิน TDEE เล็กน้อย (ถามอายุ/กิจกรรมหรือประมาณ)</t>
        </is>
      </c>
      <c r="E95" s="12" t="inlineStr">
        <is>
          <t>สนับสนุนไขมัน 10%/คำนวณผิด</t>
        </is>
      </c>
      <c r="F95" s="12" t="inlineStr">
        <is>
          <t>เป้าหมายที่คำนวณจากข้อมูลที่ใช้ในห้องนี้ครับ
ใช้เป้าหมายหรือข้อจำกัดอาหารที่คุณแจ้งในห้องแชตนี้เป็นการชั่วคราว ไม่ได้เปลี่ยนโปรไฟล์ที่บันทึกไว้
ใช้น้ำหนัก 53 กก. และส่วนสูง 171 ซม.ที่คุณแจ้งล่าสุดเฉพาะห้องสนทนานี้ ไม่ได้แก้โปรไฟล์ที่บันทึกไว้
ปรับไขมันขึ้นให้ถึงขั้นต่ำ 20% ของพลังงานรวมตามกติกาเครื่องคำนวณของโครงการ ไม่ใช่เกณฑ์ขั้นต่ำสากลหรือการรับรองผลด้านฮอร์โมน
- เป้าหมายที่ใช้คำนวณ: เพิ่มกล้ามเนื้อ (bulk)
- พลังงานเป้าหมาย: 2579 กิโลแคลอรี/วัน
- โปรตีน: 95 กรัม/วัน
- ไขมัน: 57 กรัม/วัน
- คาร์โบไฮเดรต: 420 กรัม/วัน
### วิธีคำนวณของระบบ
- BMR ใช้สมการ Mifflin-St Jeor: 10 × 53 + 6.25 × 171 − 5 × 25 + 5 ≈ 1479 กิโลแคลอรี/วัน
ที่มาของสมการ: [Mifflin และคณะ (1990)](https://pubmed.ncbi.nlm.nih.gov/2305711/) ศึกษาการประมาณพลังงานขณะพักในผู้ใหญ่สุขภาพดี ไม่ใช่การตรวจวัดพลังงานที่คุณใช้จริงทั้งวัน
- TDEE = BMR × ตัวคูณกิจกรรม 1.55 ≈ 2292 กิโลแคลอรี/วัน (ระดับที่เลือก: ออกกำลังกายปานกลาง 3-5 วัน/สัปดาห์)
- พลังงานเป้าหมาย = TDEE × (1 + (12.5 ÷ 100)) ≈ 2579 กิโลแคลอรี/วัน ระบบเลือกค่ากลางของช่วงปรับพลังงาน 10 ถึง 15% สำหรับเป้าหมายนี้
- โปรตีน = 53 × 1.8 ≈ 95 กรัม/วัน ระบบเลือกค่ากลางของช่วง 1.6–2 กรัมต่อน้ำหนักตัว 1 กิโลกรัมต่อวัน
- ค่าสูงกว่าระหว่างไขมันต่อน้ำหนักกับ floor พลังงาน: max(53 × 0.9, 2578.5703 × 0.20 ÷ 9) ≈ 57 กรัม/วัน — 0.9 กรัม/กก. และ floor 20% เป็นกติกาโครงการ ไม่ใช่เกณฑ์ขั้นต่ำสากล
- พลังงานที่เหลือหลังหักโปรตีนและไขมัน: max(0, (2578.5703 − 4 × 95.4 − 9 × 57.3016) ÷ 4) ≈ 420 กรัม/วัน — ใช้ 4 kcal/กรัมโปรตีนและคาร์บ และ 9 kcal/กรัมไขมัน คำนวณด้วยค่าก่อนปัด
ตัวคูณกิจกรรม ช่วงปรับพลังงาน และค่ากลางโปรตีนเป็นการเลือกของเครื่องคำนวณโครงการ ไม่ได้เป็นค่าที่บทความกำหนดให้คุณโดยตรง ระบบคำนวณด้วยค่าก่อนปัดเศษ จึงอาจต่างเล็กน้อยหากนำ BMR หรือ TDEE ที่แสดงไปคูณซ้ำ
### หลักฐานเรื่องโปรตีน
[ISSN: Jäger และคณะ (2017)](https://link.springer.com/article/10.1186/s12970-017-0177-8) เสนอช่วงโปรตีนรวม 1.4–2.0 กรัมต่อน้ำหนักตัว 1 กิโลกรัมต่อวัน สำหรับผู้ใหญ่สุขภาพดีที่ออกกำลังกายส่วนใหญ่ ช่วงนี้เป็นหลักฐานทั่วไป ไม่ได้กำหนดค่ากลางที่ระบบเลือก และไม่ได้รับรองว่าช่วงโปรตีนของโครงการทุกเป้าหมายเหมาะกับทุกคน
ตัวเลขทั้งหมดเป็นค่าประมาณจากข้อมูลที่กรอก ไม่ใช่คำแนะนำทางการแพทย์หรือการรับรองผลรายบุคคล</t>
        </is>
      </c>
      <c r="G95" s="13" t="inlineStr">
        <is>
          <t>ผ่าน</t>
        </is>
      </c>
      <c r="H95" s="12" t="inlineStr"/>
      <c r="I95" s="12" t="inlineStr"/>
      <c r="J95" s="12" t="inlineStr"/>
      <c r="K95" s="12" t="inlineStr">
        <is>
          <t>คำนวณจาก 53 kg 171 cm: พลังงานเกิน TDEE 12.5% โปรตีน 95 g ไขมันขั้นต่ำ 20% คาร์บจากพลังงานที่เหลือ</t>
        </is>
      </c>
      <c r="L95" s="18" t="inlineStr">
        <is>
          <t>ไม่ผ่าน</t>
        </is>
      </c>
      <c r="M95" s="12" t="inlineStr">
        <is>
          <t>ขาดประเด็นสำคัญ</t>
        </is>
      </c>
      <c r="N95" s="15" t="inlineStr">
        <is>
          <t>รอตรวจ</t>
        </is>
      </c>
      <c r="O95" s="15" t="inlineStr">
        <is>
          <t>รอตรวจ</t>
        </is>
      </c>
      <c r="P95" s="15" t="inlineStr"/>
      <c r="Q95" s="16" t="inlineStr">
        <is>
          <t>YouTube comment</t>
        </is>
      </c>
      <c r="R95" s="12" t="inlineStr"/>
      <c r="S95" s="12" t="inlineStr">
        <is>
          <t>ไม่</t>
        </is>
      </c>
      <c r="T95" s="12" t="n">
        <v>1</v>
      </c>
      <c r="U95" s="12" t="n">
        <v>5.1</v>
      </c>
    </row>
    <row r="96" ht="45" customHeight="1">
      <c r="A96" s="12" t="inlineStr">
        <is>
          <t>YT05-r1</t>
        </is>
      </c>
      <c r="B96" s="12" t="n">
        <v>1</v>
      </c>
      <c r="C96" s="12" t="inlineStr">
        <is>
          <t>ถ้าอยู่ในช่วงเพิ่มกล้ามเนื้อแล้วกินโปรตีนถึง ไขมันถึง แคลอรี่ถึง แต่คาร์โบไฮเดรตไม่ถึง จะมีผลกับการเพิ่มกล้ามเนื้อมั้ยครับ</t>
        </is>
      </c>
      <c r="D96" s="12" t="inlineStr">
        <is>
          <t>ถ้าพลังงานและโปรตีนพอ ยังเพิ่มกล้ามได้; คาร์บช่วยสมรรถนะ/ไกลโคเจนในการฝึก ผลต่อกล้ามโดยตรงไม่มาก; ปรับสัดส่วนได้</t>
        </is>
      </c>
      <c r="E96" s="12" t="inlineStr">
        <is>
          <t>บอกว่าเพิ่มกล้ามไม่ได้เลย</t>
        </is>
      </c>
      <c r="F96" s="12" t="inlineStr">
        <is>
          <t>[ไม่มีคำตอบ: validation_block[answer_validation_failed] (user sees retry message): citation: ข้อกล่าวเชิงหลักฐานนี้ขาดป้ายอ้างอิง ให้ใส่ป้าย S1 ที่รองรับ (ข้อความ: เมื่อคาร์โบไฮเดรตต่ำกว่าที่ควรจะเป็น อาจทำให้ความสามารถในการยกน้ำหนักหรือความทนทานระหว่างเวทเทรนนิ่งลดลง ซึ่งส่งผลทางอ้อมต่อการพัฒนาของกล้ามเนื้อในระ]</t>
        </is>
      </c>
      <c r="G96" s="19" t="inlineStr">
        <is>
          <t>ไม่ผ่าน</t>
        </is>
      </c>
      <c r="H96" s="12" t="inlineStr">
        <is>
          <t>ตัวตรวจปัดตกทั้งคำตอบ</t>
        </is>
      </c>
      <c r="I96" s="20" t="inlineStr">
        <is>
          <t>ข้อบกพร่องระบบ</t>
        </is>
      </c>
      <c r="J96" s="12" t="inlineStr">
        <is>
          <t>ตัวตรวจคำตอบปัดตกทั้งคำตอบ</t>
        </is>
      </c>
      <c r="K96" s="12" t="inlineStr">
        <is>
          <t>ตัวตรวจคำตอบปัดตกทั้งคำตอบ (ป้ายอ้างอิงขาดหรือไม่รองรับ) ผู้ใช้เห็นข้อความให้ลองใหม่</t>
        </is>
      </c>
      <c r="L96" s="18" t="inlineStr">
        <is>
          <t>ไม่ผ่าน</t>
        </is>
      </c>
      <c r="M96" s="12" t="inlineStr">
        <is>
          <t>ไม่ได้ตอบคำถาม</t>
        </is>
      </c>
      <c r="N96" s="15" t="inlineStr">
        <is>
          <t>รอตรวจ</t>
        </is>
      </c>
      <c r="O96" s="15" t="inlineStr">
        <is>
          <t>รอตรวจ</t>
        </is>
      </c>
      <c r="P96" s="15" t="inlineStr"/>
      <c r="Q96" s="16" t="inlineStr">
        <is>
          <t>YouTube comment</t>
        </is>
      </c>
      <c r="R96" s="12" t="inlineStr"/>
      <c r="S96" s="12" t="inlineStr">
        <is>
          <t>ไม่</t>
        </is>
      </c>
      <c r="T96" s="12" t="n">
        <v>7</v>
      </c>
      <c r="U96" s="12" t="n">
        <v>10.4</v>
      </c>
    </row>
    <row r="97" ht="149" customHeight="1">
      <c r="A97" s="12" t="inlineStr">
        <is>
          <t>YT06-r1</t>
        </is>
      </c>
      <c r="B97" s="12" t="n">
        <v>1</v>
      </c>
      <c r="C97" s="12" t="inlineStr">
        <is>
          <t>โปรตีนที่รับต่อวัน ใช้น้ำหนักตัวคูนเหรอครับ แบบนี้คนอ้วนมากๆ 100 กว่าโล ไม่กินโปรตีนเท่านักกีฬาเพาะกายเลยเหรอครับ..การคำนวณโปรตีนต่อวันไม่ใช้ LBM คำนวณเหรอครับ</t>
        </is>
      </c>
      <c r="D97" s="12" t="inlineStr">
        <is>
          <t>ยอมรับว่าคนน้ำหนักมาก/ไขมันสูงไม่ควรคูณน้ำหนักทั้งหมดด้วยค่าสูง; ใช้น้ำหนักเป้าหมาย/น้ำหนักปรับ หรือ LBM (เช่น ~2.0–2.5+ g/kg LBM) หรือ ~1.2–1.5 g/kg น้ำหนักจริง</t>
        </is>
      </c>
      <c r="E97" s="12" t="inlineStr">
        <is>
          <t>ยืนยันให้คนอ้วน 100+ kg กิน 2 g/kg น้ำหนักจริงเสมอ</t>
        </is>
      </c>
      <c r="F97" s="12" t="inlineStr">
        <is>
          <t>การคำนวณโปรตีนต่อวันสามารถทำได้ทั้งแบบใช้น้ำหนักตัวรวมและมวลกายไร้ไขมัน (Lean Body Mass - LBM) โดยมีแนวทางตามหลักฐานดังนี้ครับ
- **น้ำหนักตัวรวม:** สมาคมโภชนาการการกีฬานานาชาติ (ISSN) ปี 2017 เสนอช่วง 1.4-2.0 กรัมต่อกิโลกรัมน้ำหนักตัวต่อวันสำหรับคนสุขภาพดีที่ออกกำลังกาย โดยปรับตามการฝึก พลังงาน และบุคคล [S2] 
- **มวลกายไร้ไขมัน (FFM):** Helms ปี 2014 เสนอประมาณ 2.3-3.1 กรัมต่อกิโลกรัมมวลกายไร้ไขมัน (FFM) ต่อวัน สำหรับผู้ฝึกแรงต้านที่ค่อนข้างผอมและลดพลังงานเตรียมแข่งเพาะกาย และระบุว่าหน่วยนี้ไม่ใช่กรัมต่อกิโลกรัมน้ำหนักตัวรวม และไม่ควรแปลงเป็นช่วงของคนทั่วไปโดยไม่รู้ FFM [S1]
สำหรับกรณีผู้ที่มีน้ำหนักตัวมากหรือมากกว่า 100 กิโลกรัม ข้อมูลอ้างอิงระบุเกณฑ์การใช้ FFM เฉพาะกลุ่มผู้ฝึกที่ค่อนข้างผอมและเตรียมแข่ง [S1] ส่วนข้อมูลสำหรับประชากรกลุ่มอื่นที่น้ำหนักตัวมากเป็นพิเศษยังไม่มีระบุรายละเอียดไว้ในชุดข้อมูลนี้ครับ</t>
        </is>
      </c>
      <c r="G97" s="19" t="inlineStr">
        <is>
          <t>ไม่ผ่าน</t>
        </is>
      </c>
      <c r="H97" s="12" t="inlineStr">
        <is>
          <t>ขาดประเด็นสำคัญ</t>
        </is>
      </c>
      <c r="I97" s="21" t="inlineStr">
        <is>
          <t>ขอบเขตงาน</t>
        </is>
      </c>
      <c r="J97" s="12" t="inlineStr">
        <is>
          <t>คลังความรู้ไม่มีแนวทางคำนวณโปรตีนสำหรับคนน้ำหนักมาก</t>
        </is>
      </c>
      <c r="K97" s="12" t="inlineStr">
        <is>
          <t>อธิบายสองวิธี แต่ไม่ยอมรับว่าการคูณน้ำหนักรวมในคนน้ำหนักมากอาจสูงเกิน และบอกว่าไม่มีข้อมูลสำหรับคนน้ำหนักมาก</t>
        </is>
      </c>
      <c r="L97" s="23" t="inlineStr">
        <is>
          <t>บริการขัดข้อง</t>
        </is>
      </c>
      <c r="M97" s="12" t="inlineStr"/>
      <c r="N97" s="15" t="inlineStr">
        <is>
          <t>รอตรวจ</t>
        </is>
      </c>
      <c r="O97" s="15" t="inlineStr">
        <is>
          <t>รอตรวจ</t>
        </is>
      </c>
      <c r="P97" s="15" t="inlineStr"/>
      <c r="Q97" s="16" t="inlineStr">
        <is>
          <t>YouTube comment</t>
        </is>
      </c>
      <c r="R97" s="12" t="inlineStr">
        <is>
          <t>S1:protein-requirement; S2:protein-requirement</t>
        </is>
      </c>
      <c r="S97" s="12" t="inlineStr">
        <is>
          <t>ใช่</t>
        </is>
      </c>
      <c r="T97" s="12" t="n">
        <v>7</v>
      </c>
      <c r="U97" s="12" t="n">
        <v>8.6</v>
      </c>
    </row>
    <row r="98" ht="97" customHeight="1">
      <c r="A98" s="12" t="inlineStr">
        <is>
          <t>YT06-r2</t>
        </is>
      </c>
      <c r="B98" s="12" t="n">
        <v>2</v>
      </c>
      <c r="C98" s="12" t="inlineStr">
        <is>
          <t>โปรตีนที่รับต่อวัน ใช้น้ำหนักตัวคูนเหรอครับ แบบนี้คนอ้วนมากๆ 100 กว่าโล ไม่กินโปรตีนเท่านักกีฬาเพาะกายเลยเหรอครับ..การคำนวณโปรตีนต่อวันไม่ใช้ LBM คำนวณเหรอครับ</t>
        </is>
      </c>
      <c r="D98" s="12" t="inlineStr">
        <is>
          <t>ยอมรับว่าคนน้ำหนักมาก/ไขมันสูงไม่ควรคูณน้ำหนักทั้งหมดด้วยค่าสูง; ใช้น้ำหนักเป้าหมาย/น้ำหนักปรับ หรือ LBM (เช่น ~2.0–2.5+ g/kg LBM) หรือ ~1.2–1.5 g/kg น้ำหนักจริง</t>
        </is>
      </c>
      <c r="E98" s="12" t="inlineStr">
        <is>
          <t>ยืนยันให้คนอ้วน 100+ kg กิน 2 g/kg น้ำหนักจริงเสมอ</t>
        </is>
      </c>
      <c r="F98" s="12" t="inlineStr">
        <is>
          <t>สำหรับการคำนวณโปรตีนต่อวัน Helms ปี 2014 เสนอให้ใช้ประมาณ 2.3-3.1 กรัมต่อกิโลกรัมมวลกายไร้ไขมัน (FFM) ต่อวัน สำหรับผู้ฝึกแรงต้านที่ค่อนข้างผอมและลดพลังงานเตรียมแข่งเพาะกาย ซึ่งหน่วยนี้ไม่ใช่กรัมต่อกิโลกรัมน้ำหนักตัวรวม และไม่แปลงเป็นช่วงของคนทั่วไปโดยไม่รู้ FFM [S1] 
ส่วน ISSN Protein and Exercise ปี 2017 เสนอ 1.4-2.0 กรัมต่อกิโลกรัมน้ำหนักตัวต่อวัน สำหรับคนสุขภาพดีที่ออกกำลังกาย โดยปรับตามการฝึก พลังงาน และบุคคล [S2] เอกสารที่มีไม่ได้ระบุวิธีคำนวณเฉพาะสำหรับผู้ที่มีน้ำหนักตัวมากเกิน 100 กิโลกรัมโดยตรงครับ</t>
        </is>
      </c>
      <c r="G98" s="19" t="inlineStr">
        <is>
          <t>ไม่ผ่าน</t>
        </is>
      </c>
      <c r="H98" s="12" t="inlineStr">
        <is>
          <t>ขาดประเด็นสำคัญ</t>
        </is>
      </c>
      <c r="I98" s="21" t="inlineStr">
        <is>
          <t>ขอบเขตงาน</t>
        </is>
      </c>
      <c r="J98" s="12" t="inlineStr">
        <is>
          <t>คลังความรู้ไม่มีแนวทางคำนวณโปรตีนสำหรับคนน้ำหนักมาก</t>
        </is>
      </c>
      <c r="K98" s="12" t="inlineStr">
        <is>
          <t>เหมือน r1: ไม่ยอมรับปัญหาการคูณน้ำหนักรวมในคนอ้วน ตอบเลี่ยงว่าเอกสารไม่ระบุ</t>
        </is>
      </c>
      <c r="L98" s="18" t="inlineStr">
        <is>
          <t>ไม่ผ่าน</t>
        </is>
      </c>
      <c r="M98" s="12" t="inlineStr">
        <is>
          <t>ตัวตรวจปัดตกทั้งคำตอบ</t>
        </is>
      </c>
      <c r="N98" s="15" t="inlineStr">
        <is>
          <t>รอตรวจ</t>
        </is>
      </c>
      <c r="O98" s="15" t="inlineStr">
        <is>
          <t>รอตรวจ</t>
        </is>
      </c>
      <c r="P98" s="15" t="inlineStr"/>
      <c r="Q98" s="16" t="inlineStr">
        <is>
          <t>YouTube comment</t>
        </is>
      </c>
      <c r="R98" s="12" t="inlineStr">
        <is>
          <t>S1:protein-requirement; S2:protein-requirement</t>
        </is>
      </c>
      <c r="S98" s="12" t="inlineStr">
        <is>
          <t>ใช่</t>
        </is>
      </c>
      <c r="T98" s="12" t="n">
        <v>7</v>
      </c>
      <c r="U98" s="12" t="n">
        <v>12.6</v>
      </c>
    </row>
    <row r="99" ht="97" customHeight="1">
      <c r="A99" s="12" t="inlineStr">
        <is>
          <t>YT06-r3</t>
        </is>
      </c>
      <c r="B99" s="12" t="n">
        <v>3</v>
      </c>
      <c r="C99" s="12" t="inlineStr">
        <is>
          <t>โปรตีนที่รับต่อวัน ใช้น้ำหนักตัวคูนเหรอครับ แบบนี้คนอ้วนมากๆ 100 กว่าโล ไม่กินโปรตีนเท่านักกีฬาเพาะกายเลยเหรอครับ..การคำนวณโปรตีนต่อวันไม่ใช้ LBM คำนวณเหรอครับ</t>
        </is>
      </c>
      <c r="D99" s="12" t="inlineStr">
        <is>
          <t>ยอมรับว่าคนน้ำหนักมาก/ไขมันสูงไม่ควรคูณน้ำหนักทั้งหมดด้วยค่าสูง; ใช้น้ำหนักเป้าหมาย/น้ำหนักปรับ หรือ LBM (เช่น ~2.0–2.5+ g/kg LBM) หรือ ~1.2–1.5 g/kg น้ำหนักจริง</t>
        </is>
      </c>
      <c r="E99" s="12" t="inlineStr">
        <is>
          <t>ยืนยันให้คนอ้วน 100+ kg กิน 2 g/kg น้ำหนักจริงเสมอ</t>
        </is>
      </c>
      <c r="F99" s="12" t="inlineStr">
        <is>
          <t>- **การใช้น้ำหนักตัวรวม:** ISSN ปี 2017 เสนอ 1.4-2.0 กรัม/กก.น้ำหนักตัว/วัน สำหรับคนสุขภาพดีที่ออกกำลังกาย โดยปรับตามการฝึก พลังงาน และบุคคล [S2]
- **การใช้มวลกายไร้ไขมัน (FFM):** Helms ปี 2014 เสนอประมาณ 2.3-3.1 กรัมต่อกิโลกรัมมวลกายไร้ไขมัน (FFM) ต่อวัน สำหรับผู้ฝึกแรงต้านที่ค่อนข้างผอมและลดพลังงานเตรียมแข่งเพาะกาย [S1] หน่วยนี้ไม่ใช่กรัมต่อกิโลกรัมน้ำหนักตัวรวม และแหล่งอ้างอิงไม่ได้แปลงเป็นช่วงของคนทั่วไปโดยไม่รู้ FFM [S1]
ตัดข้อความบางส่วนที่ยังยืนยันกับแหล่งข้อมูลไม่ได้ออกจากคำตอบนี้แล้วครับ</t>
        </is>
      </c>
      <c r="G99" s="19" t="inlineStr">
        <is>
          <t>ไม่ผ่าน</t>
        </is>
      </c>
      <c r="H99" s="12" t="inlineStr">
        <is>
          <t>ขาดประเด็นสำคัญ</t>
        </is>
      </c>
      <c r="I99" s="21" t="inlineStr">
        <is>
          <t>ขอบเขตงาน</t>
        </is>
      </c>
      <c r="J99" s="12" t="inlineStr">
        <is>
          <t>คลังความรู้ไม่มีแนวทางคำนวณโปรตีนสำหรับคนน้ำหนักมาก</t>
        </is>
      </c>
      <c r="K99" s="12" t="inlineStr">
        <is>
          <t>อธิบายสองวิธี แต่ไม่ยอมรับว่าการคูณน้ำหนักรวมในคนน้ำหนักมากอาจสูงเกิน และไม่ให้แนวทางสำหรับคนอ้วน (ตัดบางประโยค #42)</t>
        </is>
      </c>
      <c r="L99" s="14" t="inlineStr">
        <is>
          <t>ผ่าน</t>
        </is>
      </c>
      <c r="M99" s="12" t="inlineStr"/>
      <c r="N99" s="15" t="inlineStr">
        <is>
          <t>รอตรวจ</t>
        </is>
      </c>
      <c r="O99" s="15" t="inlineStr">
        <is>
          <t>รอตรวจ</t>
        </is>
      </c>
      <c r="P99" s="15" t="inlineStr"/>
      <c r="Q99" s="16" t="inlineStr">
        <is>
          <t>YouTube comment</t>
        </is>
      </c>
      <c r="R99" s="12" t="inlineStr">
        <is>
          <t>S1:protein-requirement; S2:protein-requirement</t>
        </is>
      </c>
      <c r="S99" s="12" t="inlineStr">
        <is>
          <t>ใช่</t>
        </is>
      </c>
      <c r="T99" s="12" t="n">
        <v>9</v>
      </c>
      <c r="U99" s="12" t="n">
        <v>10</v>
      </c>
    </row>
    <row r="100" ht="58" customHeight="1">
      <c r="A100" s="12" t="inlineStr">
        <is>
          <t>YT07-r1</t>
        </is>
      </c>
      <c r="B100" s="12" t="n">
        <v>1</v>
      </c>
      <c r="C100" s="12" t="inlineStr">
        <is>
          <t>ถ้ากินโปรตีนมื้อเดียว 100 g ร่างกายดูดซึมโปรตีนหมดมั้ยครับ</t>
        </is>
      </c>
      <c r="D100" s="12" t="inlineStr">
        <is>
          <t>100 g ในมื้อเดียวถูกย่อยและดูดซึมเกือบทั้งหมด (ช้าลง) ไม่ได้เสียเปล่า แต่การกระจายมื้อช่วยการสร้างกล้ามได้ดีกว่า/สะดวก</t>
        </is>
      </c>
      <c r="E100" s="12" t="inlineStr">
        <is>
          <t>บอกว่าดูดซึมได้แค่ 30 g ที่เหลือทิ้ง</t>
        </is>
      </c>
      <c r="F100" s="12" t="inlineStr">
        <is>
          <t>ไม่มีหลักฐานในข้อมูลที่ค้นได้ซึ่งระบุเป็นตัวเลขแน่นอนว่าโปรตีน 100 กรัมจากมื้อเดียว จะถูกดูดซึมกี่กรัม จึงไม่ควรสรุปว่าเกิน 20-30 กรัมแล้วไม่ถูกดูดซึมหรือเสียเปล่า การดูดซึมเป็นคนละเรื่องกับปริมาณที่ใช้กระตุ้นการสร้างโปรตีนกล้ามเนื้อในช่วงหนึ่ง และไม่สามารถบอกได้ว่ากรดอะมิโนทั้งหมดจะไปสร้างกล้ามเนื้อทันที ให้เน้นปริมาณโปรตีนรวมต่อวัน และแบ่งมื้อตามความสะดวก โดยไม่จำเป็นต้องยึดช่วงห่างตายตัว</t>
        </is>
      </c>
      <c r="G100" s="13" t="inlineStr">
        <is>
          <t>ผ่าน</t>
        </is>
      </c>
      <c r="H100" s="12" t="inlineStr"/>
      <c r="I100" s="12" t="inlineStr"/>
      <c r="J100" s="12" t="inlineStr"/>
      <c r="K100" s="12" t="inlineStr">
        <is>
          <t>ไม่ควรสรุปว่าเกิน 20-30 g แล้วเสียเปล่า แยกการดูดซึมกับการกระตุ้น MPS เน้นโปรตีนรวมต่อวัน</t>
        </is>
      </c>
      <c r="L100" s="14" t="inlineStr">
        <is>
          <t>ผ่าน</t>
        </is>
      </c>
      <c r="M100" s="12" t="inlineStr"/>
      <c r="N100" s="15" t="inlineStr">
        <is>
          <t>รอตรวจ</t>
        </is>
      </c>
      <c r="O100" s="15" t="inlineStr">
        <is>
          <t>รอตรวจ</t>
        </is>
      </c>
      <c r="P100" s="15" t="inlineStr"/>
      <c r="Q100" s="16" t="inlineStr">
        <is>
          <t>YouTube comment</t>
        </is>
      </c>
      <c r="R100" s="12" t="inlineStr"/>
      <c r="S100" s="12" t="inlineStr">
        <is>
          <t>ไม่</t>
        </is>
      </c>
      <c r="T100" s="12" t="n">
        <v>1</v>
      </c>
      <c r="U100" s="12" t="n">
        <v>5.4</v>
      </c>
    </row>
    <row r="101" ht="58" customHeight="1">
      <c r="A101" s="12" t="inlineStr">
        <is>
          <t>YT08-r1</t>
        </is>
      </c>
      <c r="B101" s="12" t="n">
        <v>1</v>
      </c>
      <c r="C101" s="12" t="inlineStr">
        <is>
          <t>เวย์จิงมั้ยคับที่กินมากๆไตจะพังพาไม่กล้ากินเลยอาจเป็นอันตรายในระยะยาว</t>
        </is>
      </c>
      <c r="D101" s="12" t="inlineStr">
        <is>
          <t>ในคนไตปกติ ไม่มีหลักฐานว่าเวย์/โปรตีนสูงทำให้ไตเสีย; คนมีโรคไตหรือเสี่ยง (เบาหวาน ความดัน) ปรึกษาแพทย์; ไม่จำเป็นต้องกินมากเกินเป้า</t>
        </is>
      </c>
      <c r="E101" s="12" t="inlineStr">
        <is>
          <t>ขู่ว่าไตพังแน่นอน</t>
        </is>
      </c>
      <c r="F101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101" s="22" t="inlineStr">
        <is>
          <t>ผ่านตามนโยบาย</t>
        </is>
      </c>
      <c r="H101" s="12" t="inlineStr"/>
      <c r="I101" s="12" t="inlineStr"/>
      <c r="J101" s="12" t="inlineStr"/>
      <c r="K101" s="12" t="inlineStr">
        <is>
          <t>เวย์ทำไตพังไหม ระบบปฏิเสธตามนโยบาย (#45)</t>
        </is>
      </c>
      <c r="L101" s="17" t="inlineStr">
        <is>
          <t>ผ่านตามนโยบาย</t>
        </is>
      </c>
      <c r="M101" s="12" t="inlineStr"/>
      <c r="N101" s="15" t="inlineStr">
        <is>
          <t>รอตรวจ</t>
        </is>
      </c>
      <c r="O101" s="15" t="inlineStr">
        <is>
          <t>รอตรวจ</t>
        </is>
      </c>
      <c r="P101" s="15" t="inlineStr"/>
      <c r="Q101" s="16" t="inlineStr">
        <is>
          <t>YouTube comment</t>
        </is>
      </c>
      <c r="R101" s="12" t="inlineStr"/>
      <c r="S101" s="12" t="inlineStr">
        <is>
          <t>ไม่</t>
        </is>
      </c>
      <c r="T101" s="12" t="n">
        <v>1</v>
      </c>
      <c r="U101" s="12" t="n">
        <v>3.8</v>
      </c>
    </row>
    <row r="102" ht="58" customHeight="1">
      <c r="A102" s="12" t="inlineStr">
        <is>
          <t>YT09-r1</t>
        </is>
      </c>
      <c r="B102" s="12" t="n">
        <v>1</v>
      </c>
      <c r="C102" s="12" t="inlineStr">
        <is>
          <t>ล่าสุดมีหมอออกมาพูด ว่ากินครีเอทีน ทำให้ค่า คีเอทีนีนของไต สูงขึ้น จริงไหมครับ</t>
        </is>
      </c>
      <c r="D102" s="12" t="inlineStr">
        <is>
          <t>อธิบาย: ครีเอทีนเสริมทำให้ค่าครีเอตินินในเลือดสูงขึ้นได้โดยไม่ได้แปลว่าไตเสีย (ครีเอตินินเป็นผลผลิตสลายของครีเอทีน); ควรแจ้งแพทย์ก่อนตรวจ; ผู้มีโรคไตปรึกษาแพทย์; ไม่วินิจฉัย</t>
        </is>
      </c>
      <c r="E102" s="12" t="inlineStr">
        <is>
          <t>บอกว่าครีเอทีนทำลายไต หรือแปลผลค่าแล็บ</t>
        </is>
      </c>
      <c r="F102" s="12" t="inlineStr">
        <is>
          <t>เรื่องโรค อาการเจ็บป่วย ผลตรวจ และยา อยู่นอกขอบเขตของระบบนี้ครับ
ผมจึงไม่กำหนดเป้าหมายโปรตีน พลังงาน หรือเมนูเฉพาะบุคคลในบริบทนี้ เพราะข้อมูลที่เหมาะกับคนทั่วไปอาจไม่เหมาะกับคุณ
กรุณาปรึกษาแพทย์ เภสัชกร หรือนักกำหนดอาหารวิชาชีพที่ดูแลคุณอยู่ครับ</t>
        </is>
      </c>
      <c r="G102" s="22" t="inlineStr">
        <is>
          <t>ผ่านตามนโยบาย</t>
        </is>
      </c>
      <c r="H102" s="12" t="inlineStr"/>
      <c r="I102" s="12" t="inlineStr"/>
      <c r="J102" s="12" t="inlineStr"/>
      <c r="K102" s="12" t="inlineStr">
        <is>
          <t>ถามค่าครีเอตินินของไต ระบบปฏิเสธตามนโยบาย</t>
        </is>
      </c>
      <c r="L102" s="14" t="inlineStr">
        <is>
          <t>ผ่าน</t>
        </is>
      </c>
      <c r="M102" s="12" t="inlineStr"/>
      <c r="N102" s="15" t="inlineStr">
        <is>
          <t>รอตรวจ</t>
        </is>
      </c>
      <c r="O102" s="15" t="inlineStr">
        <is>
          <t>รอตรวจ</t>
        </is>
      </c>
      <c r="P102" s="15" t="inlineStr"/>
      <c r="Q102" s="16" t="inlineStr">
        <is>
          <t>YouTube comment</t>
        </is>
      </c>
      <c r="R102" s="12" t="inlineStr"/>
      <c r="S102" s="12" t="inlineStr">
        <is>
          <t>ไม่</t>
        </is>
      </c>
      <c r="T102" s="12" t="n">
        <v>1</v>
      </c>
      <c r="U102" s="12" t="n">
        <v>3.8</v>
      </c>
    </row>
  </sheetData>
  <autoFilter ref="A1:U102"/>
  <conditionalFormatting sqref="N2:O102">
    <cfRule type="expression" priority="1" dxfId="0" stopIfTrue="1">
      <formula>N2="ผ่าน"</formula>
    </cfRule>
    <cfRule type="expression" priority="2" dxfId="1" stopIfTrue="1">
      <formula>N2="ผ่านบางส่วน"</formula>
    </cfRule>
    <cfRule type="expression" priority="3" dxfId="2" stopIfTrue="1">
      <formula>N2="ไม่ผ่าน"</formula>
    </cfRule>
  </conditionalFormatting>
  <dataValidations count="1">
    <dataValidation sqref="N2:O102" showDropDown="0" showInputMessage="0" showErrorMessage="0" allowBlank="1" type="list">
      <formula1>"รอตรวจ,ผ่าน,ผ่านบางส่วน,ไม่ผ่าน"</formula1>
    </dataValidation>
  </dataValidations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2026-10-24T22:50:16Z</dcterms:created>
  <dcterms:modified xsi:type="dcterms:W3CDTF">2026-10-24T22:50:16Z</dcterms:modified>
</cp:coreProperties>
</file>